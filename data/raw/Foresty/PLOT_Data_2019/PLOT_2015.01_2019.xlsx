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0AEE0EC-F0B1-44FC-9E20-4F7332615D5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1" i="1" l="1"/>
  <c r="N33" i="1"/>
  <c r="N29" i="1"/>
  <c r="N25" i="1"/>
  <c r="N21" i="1"/>
  <c r="N17" i="1"/>
  <c r="N13" i="1"/>
  <c r="N12" i="1"/>
  <c r="N15" i="1" l="1"/>
  <c r="N19" i="1"/>
  <c r="N23" i="1"/>
  <c r="N27" i="1"/>
  <c r="N18" i="1"/>
  <c r="N22" i="1"/>
  <c r="N26" i="1"/>
  <c r="N30" i="1"/>
  <c r="N34" i="1"/>
  <c r="N16" i="1"/>
  <c r="N20" i="1"/>
  <c r="N24" i="1"/>
  <c r="N28" i="1"/>
  <c r="N32" i="1"/>
  <c r="N14" i="1"/>
  <c r="M12" i="1"/>
  <c r="M13" i="1"/>
  <c r="M14" i="1"/>
  <c r="M15" i="1"/>
  <c r="M16" i="1"/>
  <c r="M17" i="1"/>
  <c r="M18" i="1"/>
  <c r="M19" i="1"/>
  <c r="M21" i="1"/>
  <c r="M22" i="1"/>
  <c r="M25" i="1"/>
  <c r="M27" i="1"/>
  <c r="M28" i="1"/>
  <c r="M34" i="1"/>
  <c r="M11" i="1"/>
  <c r="C2" i="2" l="1"/>
  <c r="E35" i="1" l="1"/>
  <c r="M31" i="1"/>
  <c r="N31" i="1"/>
  <c r="F35" i="1"/>
  <c r="G35" i="1"/>
</calcChain>
</file>

<file path=xl/sharedStrings.xml><?xml version="1.0" encoding="utf-8"?>
<sst xmlns="http://schemas.openxmlformats.org/spreadsheetml/2006/main" count="81" uniqueCount="46">
  <si>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</si>
  <si>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</si>
  <si>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</si>
  <si>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</si>
  <si>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</si>
  <si>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</si>
  <si>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</si>
  <si>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</si>
  <si>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</si>
  <si>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</si>
  <si>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</si>
  <si>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</si>
  <si>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</si>
  <si>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</si>
  <si>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</si>
  <si>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</si>
  <si>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</si>
  <si>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</si>
  <si>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</si>
  <si>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</si>
  <si>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</si>
  <si>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</si>
  <si>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</si>
  <si>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</si>
  <si>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</si>
  <si>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</si>
  <si>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</si>
  <si>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</si>
  <si>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nice, good Quality</t>
  </si>
  <si>
    <t>vermutlich nicht gepflanzt wegen limestone</t>
  </si>
  <si>
    <t>Fegeschäden Wild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</si>
  <si>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</si>
  <si>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</si>
  <si>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</si>
  <si>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</si>
  <si>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</si>
  <si>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</si>
  <si>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</si>
  <si>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</si>
  <si>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</si>
  <si>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</si>
  <si>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</si>
  <si>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</si>
  <si>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NA</t>
  </si>
  <si>
    <t>Raslcal Waltz, Luis Piña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</si>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</sst>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6" xfId="0" applyFont="1" applyFill="1" applyBorder="1"/>
    <xf numFmtId="1" fontId="3" fillId="2" borderId="6" xfId="0" applyNumberFormat="1" applyFont="1" applyFill="1" applyBorder="1"/>
    <xf numFmtId="164" fontId="3" fillId="2" borderId="6" xfId="0" applyNumberFormat="1" applyFont="1" applyFill="1" applyBorder="1"/>
  </cellXfs>
  <cellStyles count="1">
    <cellStyle name="Normal" xfId="0" builtinId="0"/>
  </cellStyles>
  <dxfs count="7"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6" headerRowBorderDxfId="5" tableBorderDxfId="4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="85" zoomScaleNormal="85" workbookViewId="0">
      <selection activeCell="F4" sqref="F4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4"/>
      <c r="B1" s="24"/>
      <c r="C1" s="24"/>
      <c r="D1" s="24" t="s">
        <v>0</v>
      </c>
      <c r="E1" s="33">
        <v>43510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4"/>
      <c r="B2" s="24"/>
      <c r="C2" s="24"/>
      <c r="D2" s="24" t="s">
        <v>1</v>
      </c>
      <c r="E2" s="34" t="s">
        <v>44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5"/>
      <c r="B3" s="25"/>
      <c r="C3" s="25"/>
      <c r="D3" s="25" t="s">
        <v>2</v>
      </c>
      <c r="E3" s="35">
        <v>43597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5"/>
      <c r="B4" s="25"/>
      <c r="C4" s="25"/>
      <c r="D4" s="25" t="s">
        <v>3</v>
      </c>
      <c r="E4" s="34" t="s">
        <v>45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4"/>
      <c r="B5" s="24"/>
      <c r="C5" s="24"/>
      <c r="D5" s="24" t="s">
        <v>4</v>
      </c>
      <c r="E5" s="7">
        <v>2015.01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4"/>
      <c r="B6" s="24"/>
      <c r="C6" s="24"/>
      <c r="D6" s="24" t="s">
        <v>5</v>
      </c>
      <c r="E6" s="7"/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4"/>
      <c r="B7" s="24"/>
      <c r="C7" s="24"/>
      <c r="D7" s="24" t="s">
        <v>6</v>
      </c>
      <c r="E7" s="7"/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4"/>
      <c r="B8" s="24"/>
      <c r="C8" s="24"/>
      <c r="D8" s="24" t="s">
        <v>7</v>
      </c>
      <c r="E8" s="15"/>
      <c r="F8" s="13"/>
      <c r="G8" s="14"/>
      <c r="H8" s="15"/>
      <c r="I8" s="13"/>
      <c r="J8" s="13"/>
      <c r="K8" s="16"/>
      <c r="L8" s="16"/>
      <c r="M8" s="16"/>
    </row>
    <row r="9" spans="1:14" s="22" customFormat="1" ht="26.5" thickTop="1" x14ac:dyDescent="0.35">
      <c r="A9" s="21" t="s">
        <v>8</v>
      </c>
      <c r="B9" s="21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21" t="s">
        <v>15</v>
      </c>
      <c r="I9" s="21" t="s">
        <v>16</v>
      </c>
      <c r="J9" s="21" t="s">
        <v>17</v>
      </c>
      <c r="K9" s="19" t="s">
        <v>18</v>
      </c>
      <c r="L9" s="19" t="s">
        <v>19</v>
      </c>
      <c r="M9" s="27" t="s">
        <v>20</v>
      </c>
      <c r="N9" s="31" t="s">
        <v>21</v>
      </c>
    </row>
    <row r="10" spans="1:14" s="22" customFormat="1" ht="15" thickBot="1" x14ac:dyDescent="0.4">
      <c r="A10" s="20"/>
      <c r="B10" s="20"/>
      <c r="C10" s="18"/>
      <c r="D10" s="18"/>
      <c r="E10" s="18" t="s">
        <v>22</v>
      </c>
      <c r="F10" s="18" t="s">
        <v>23</v>
      </c>
      <c r="G10" s="18" t="s">
        <v>23</v>
      </c>
      <c r="H10" s="20" t="s">
        <v>24</v>
      </c>
      <c r="I10" s="20" t="s">
        <v>25</v>
      </c>
      <c r="J10" s="20" t="s">
        <v>26</v>
      </c>
      <c r="K10" s="20" t="s">
        <v>25</v>
      </c>
      <c r="L10" s="18" t="s">
        <v>25</v>
      </c>
      <c r="M10" s="28"/>
      <c r="N10" s="29"/>
    </row>
    <row r="11" spans="1:14" ht="15" thickTop="1" x14ac:dyDescent="0.35">
      <c r="A11" s="10">
        <v>1</v>
      </c>
      <c r="B11" s="11">
        <v>5961</v>
      </c>
      <c r="C11" s="12">
        <v>1</v>
      </c>
      <c r="D11" s="12" t="s">
        <v>27</v>
      </c>
      <c r="E11" s="12">
        <v>1</v>
      </c>
      <c r="F11" s="23">
        <v>430</v>
      </c>
      <c r="G11" s="36">
        <v>3.5</v>
      </c>
      <c r="H11" s="12">
        <v>2</v>
      </c>
      <c r="I11" s="12">
        <v>1</v>
      </c>
      <c r="J11" s="12">
        <v>0</v>
      </c>
      <c r="K11" s="12">
        <v>1</v>
      </c>
      <c r="L11" s="12">
        <v>0</v>
      </c>
      <c r="M11" s="3" t="str">
        <f t="shared" ref="M11:M34" si="0">IF(AND(NOT(ISBLANK($E11)),$E11=0),0,"")</f>
        <v/>
      </c>
      <c r="N11" s="26">
        <f>IF(OR(F11="NA",G11="NA"),"NA",IF(OR(LEN(F11)=0,LEN(G11)=0),"",F11/G11))</f>
        <v>122.85714285714286</v>
      </c>
    </row>
    <row r="12" spans="1:14" x14ac:dyDescent="0.35">
      <c r="A12" s="9">
        <v>2</v>
      </c>
      <c r="B12" s="2">
        <v>2002</v>
      </c>
      <c r="C12" s="3">
        <v>1</v>
      </c>
      <c r="D12" s="12" t="s">
        <v>27</v>
      </c>
      <c r="E12" s="3">
        <v>1</v>
      </c>
      <c r="F12" s="23">
        <v>183</v>
      </c>
      <c r="G12" s="36">
        <v>1.8</v>
      </c>
      <c r="H12" s="12">
        <v>3</v>
      </c>
      <c r="I12" s="12">
        <v>1</v>
      </c>
      <c r="J12" s="12">
        <v>0</v>
      </c>
      <c r="K12" s="12">
        <v>1</v>
      </c>
      <c r="L12" s="12">
        <v>0</v>
      </c>
      <c r="M12" s="3" t="str">
        <f t="shared" si="0"/>
        <v/>
      </c>
      <c r="N12" s="26">
        <f t="shared" ref="N12:N34" si="1">IF(OR(F12="NA",G12="NA"),"NA",IF(OR(LEN(F12)=0,LEN(G12)=0),"",F12/G12))</f>
        <v>101.66666666666666</v>
      </c>
    </row>
    <row r="13" spans="1:14" x14ac:dyDescent="0.35">
      <c r="A13" s="9">
        <v>3</v>
      </c>
      <c r="B13" s="37">
        <v>20022</v>
      </c>
      <c r="C13" s="3">
        <v>1</v>
      </c>
      <c r="D13" s="12" t="s">
        <v>27</v>
      </c>
      <c r="E13" s="3">
        <v>1</v>
      </c>
      <c r="F13" s="23">
        <v>570</v>
      </c>
      <c r="G13" s="36">
        <v>4.2</v>
      </c>
      <c r="H13" s="12">
        <v>1</v>
      </c>
      <c r="I13" s="12">
        <v>0</v>
      </c>
      <c r="J13" s="12">
        <v>0</v>
      </c>
      <c r="K13" s="12">
        <v>1</v>
      </c>
      <c r="L13" s="12">
        <v>0</v>
      </c>
      <c r="M13" s="3" t="str">
        <f t="shared" si="0"/>
        <v/>
      </c>
      <c r="N13" s="26">
        <f t="shared" si="1"/>
        <v>135.71428571428572</v>
      </c>
    </row>
    <row r="14" spans="1:14" x14ac:dyDescent="0.35">
      <c r="A14" s="9">
        <v>4</v>
      </c>
      <c r="B14" s="2">
        <v>2003</v>
      </c>
      <c r="C14" s="3">
        <v>1</v>
      </c>
      <c r="D14" s="12" t="s">
        <v>27</v>
      </c>
      <c r="E14" s="3">
        <v>1</v>
      </c>
      <c r="F14" s="23">
        <v>473</v>
      </c>
      <c r="G14" s="36">
        <v>4.7</v>
      </c>
      <c r="H14" s="12">
        <v>1</v>
      </c>
      <c r="I14" s="12">
        <v>1</v>
      </c>
      <c r="J14" s="12">
        <v>0</v>
      </c>
      <c r="K14" s="12">
        <v>1</v>
      </c>
      <c r="L14" s="12">
        <v>0</v>
      </c>
      <c r="M14" s="3" t="str">
        <f t="shared" si="0"/>
        <v/>
      </c>
      <c r="N14" s="26">
        <f t="shared" si="1"/>
        <v>100.63829787234042</v>
      </c>
    </row>
    <row r="15" spans="1:14" x14ac:dyDescent="0.35">
      <c r="A15" s="9">
        <v>5</v>
      </c>
      <c r="B15" s="37">
        <v>20032</v>
      </c>
      <c r="C15" s="3">
        <v>1</v>
      </c>
      <c r="D15" s="12" t="s">
        <v>27</v>
      </c>
      <c r="E15" s="3">
        <v>1</v>
      </c>
      <c r="F15" s="23">
        <v>482</v>
      </c>
      <c r="G15" s="36">
        <v>4.0999999999999996</v>
      </c>
      <c r="H15" s="12">
        <v>1</v>
      </c>
      <c r="I15" s="12">
        <v>1</v>
      </c>
      <c r="J15" s="12">
        <v>0</v>
      </c>
      <c r="K15" s="12">
        <v>1</v>
      </c>
      <c r="L15" s="12">
        <v>0</v>
      </c>
      <c r="M15" s="3" t="str">
        <f t="shared" si="0"/>
        <v/>
      </c>
      <c r="N15" s="26">
        <f t="shared" si="1"/>
        <v>117.56097560975611</v>
      </c>
    </row>
    <row r="16" spans="1:14" x14ac:dyDescent="0.35">
      <c r="A16" s="9">
        <v>6</v>
      </c>
      <c r="B16" s="2">
        <v>2004</v>
      </c>
      <c r="C16" s="3">
        <v>1</v>
      </c>
      <c r="D16" s="12" t="s">
        <v>27</v>
      </c>
      <c r="E16" s="3">
        <v>1</v>
      </c>
      <c r="F16" s="23">
        <v>341</v>
      </c>
      <c r="G16" s="36">
        <v>3</v>
      </c>
      <c r="H16" s="12">
        <v>1</v>
      </c>
      <c r="I16" s="12">
        <v>0</v>
      </c>
      <c r="J16" s="12">
        <v>0</v>
      </c>
      <c r="K16" s="12">
        <v>1</v>
      </c>
      <c r="L16" s="12">
        <v>0</v>
      </c>
      <c r="M16" s="3" t="str">
        <f t="shared" si="0"/>
        <v/>
      </c>
      <c r="N16" s="26">
        <f t="shared" si="1"/>
        <v>113.66666666666667</v>
      </c>
    </row>
    <row r="17" spans="1:14" x14ac:dyDescent="0.35">
      <c r="A17" s="9">
        <v>7</v>
      </c>
      <c r="B17" s="2">
        <v>2019</v>
      </c>
      <c r="C17" s="3">
        <v>2</v>
      </c>
      <c r="D17" s="12" t="s">
        <v>27</v>
      </c>
      <c r="E17" s="3">
        <v>1</v>
      </c>
      <c r="F17" s="23">
        <v>328</v>
      </c>
      <c r="G17" s="36">
        <v>2.6</v>
      </c>
      <c r="H17" s="12">
        <v>1</v>
      </c>
      <c r="I17" s="12">
        <v>0</v>
      </c>
      <c r="J17" s="12">
        <v>0</v>
      </c>
      <c r="K17" s="12">
        <v>1</v>
      </c>
      <c r="L17" s="12">
        <v>0</v>
      </c>
      <c r="M17" s="3" t="str">
        <f t="shared" si="0"/>
        <v/>
      </c>
      <c r="N17" s="26">
        <f t="shared" si="1"/>
        <v>126.15384615384615</v>
      </c>
    </row>
    <row r="18" spans="1:14" x14ac:dyDescent="0.35">
      <c r="A18" s="9">
        <v>8</v>
      </c>
      <c r="B18" s="37">
        <v>20192</v>
      </c>
      <c r="C18" s="3">
        <v>2</v>
      </c>
      <c r="D18" s="12" t="s">
        <v>27</v>
      </c>
      <c r="E18" s="3">
        <v>1</v>
      </c>
      <c r="F18" s="23">
        <v>210</v>
      </c>
      <c r="G18" s="36">
        <v>1.6</v>
      </c>
      <c r="H18" s="12">
        <v>1</v>
      </c>
      <c r="I18" s="12">
        <v>0</v>
      </c>
      <c r="J18" s="12">
        <v>0</v>
      </c>
      <c r="K18" s="12">
        <v>1</v>
      </c>
      <c r="L18" s="12">
        <v>0</v>
      </c>
      <c r="M18" s="3" t="str">
        <f t="shared" si="0"/>
        <v/>
      </c>
      <c r="N18" s="26">
        <f t="shared" si="1"/>
        <v>131.25</v>
      </c>
    </row>
    <row r="19" spans="1:14" x14ac:dyDescent="0.35">
      <c r="A19" s="9">
        <v>9</v>
      </c>
      <c r="B19" s="2">
        <v>2020</v>
      </c>
      <c r="C19" s="3">
        <v>2</v>
      </c>
      <c r="D19" s="12" t="s">
        <v>27</v>
      </c>
      <c r="E19" s="3">
        <v>1</v>
      </c>
      <c r="F19" s="23">
        <v>428</v>
      </c>
      <c r="G19" s="36">
        <v>3.7</v>
      </c>
      <c r="H19" s="12">
        <v>1</v>
      </c>
      <c r="I19" s="12">
        <v>0</v>
      </c>
      <c r="J19" s="12">
        <v>0</v>
      </c>
      <c r="K19" s="12">
        <v>0</v>
      </c>
      <c r="L19" s="12">
        <v>0</v>
      </c>
      <c r="M19" s="3" t="str">
        <f t="shared" si="0"/>
        <v/>
      </c>
      <c r="N19" s="26">
        <f t="shared" si="1"/>
        <v>115.67567567567568</v>
      </c>
    </row>
    <row r="20" spans="1:14" x14ac:dyDescent="0.35">
      <c r="A20" s="9">
        <v>10</v>
      </c>
      <c r="B20" s="37">
        <v>20202</v>
      </c>
      <c r="C20" s="3">
        <v>2</v>
      </c>
      <c r="D20" s="12" t="s">
        <v>27</v>
      </c>
      <c r="E20" s="3">
        <v>1</v>
      </c>
      <c r="F20" s="23">
        <v>549</v>
      </c>
      <c r="G20" s="36">
        <v>4.5999999999999996</v>
      </c>
      <c r="H20" s="12">
        <v>1</v>
      </c>
      <c r="I20" s="12">
        <v>1</v>
      </c>
      <c r="J20" s="12">
        <v>0</v>
      </c>
      <c r="K20" s="12">
        <v>0</v>
      </c>
      <c r="L20" s="12">
        <v>0</v>
      </c>
      <c r="M20" s="3" t="s">
        <v>28</v>
      </c>
      <c r="N20" s="26">
        <f t="shared" si="1"/>
        <v>119.34782608695653</v>
      </c>
    </row>
    <row r="21" spans="1:14" x14ac:dyDescent="0.35">
      <c r="A21" s="9">
        <v>11</v>
      </c>
      <c r="B21" s="2">
        <v>2021</v>
      </c>
      <c r="C21" s="3">
        <v>2</v>
      </c>
      <c r="D21" s="12" t="s">
        <v>27</v>
      </c>
      <c r="E21" s="3">
        <v>1</v>
      </c>
      <c r="F21" s="23">
        <v>374</v>
      </c>
      <c r="G21" s="36">
        <v>3.5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3" t="str">
        <f t="shared" si="0"/>
        <v/>
      </c>
      <c r="N21" s="26">
        <f t="shared" si="1"/>
        <v>106.85714285714286</v>
      </c>
    </row>
    <row r="22" spans="1:14" x14ac:dyDescent="0.35">
      <c r="A22" s="9">
        <v>12</v>
      </c>
      <c r="B22" s="2">
        <v>5972</v>
      </c>
      <c r="C22" s="3">
        <v>2</v>
      </c>
      <c r="D22" s="12" t="s">
        <v>27</v>
      </c>
      <c r="E22" s="3">
        <v>1</v>
      </c>
      <c r="F22" s="23">
        <v>440</v>
      </c>
      <c r="G22" s="36">
        <v>3.7</v>
      </c>
      <c r="H22" s="12">
        <v>2</v>
      </c>
      <c r="I22" s="12">
        <v>0</v>
      </c>
      <c r="J22" s="12">
        <v>0</v>
      </c>
      <c r="K22" s="12">
        <v>0</v>
      </c>
      <c r="L22" s="12">
        <v>0</v>
      </c>
      <c r="M22" s="3" t="str">
        <f t="shared" si="0"/>
        <v/>
      </c>
      <c r="N22" s="26">
        <f t="shared" si="1"/>
        <v>118.91891891891892</v>
      </c>
    </row>
    <row r="23" spans="1:14" x14ac:dyDescent="0.35">
      <c r="A23" s="9">
        <v>13</v>
      </c>
      <c r="B23" s="37"/>
      <c r="C23" s="38"/>
      <c r="D23" s="39" t="s">
        <v>27</v>
      </c>
      <c r="E23" s="38">
        <v>0</v>
      </c>
      <c r="F23" s="40"/>
      <c r="G23" s="41"/>
      <c r="H23" s="39"/>
      <c r="I23" s="39"/>
      <c r="J23" s="39"/>
      <c r="K23" s="39"/>
      <c r="L23" s="39"/>
      <c r="M23" s="38" t="s">
        <v>29</v>
      </c>
      <c r="N23" s="26" t="str">
        <f t="shared" si="1"/>
        <v/>
      </c>
    </row>
    <row r="24" spans="1:14" x14ac:dyDescent="0.35">
      <c r="A24" s="9">
        <v>14</v>
      </c>
      <c r="B24" s="37"/>
      <c r="C24" s="38"/>
      <c r="D24" s="39" t="s">
        <v>27</v>
      </c>
      <c r="E24" s="38">
        <v>0</v>
      </c>
      <c r="F24" s="40"/>
      <c r="G24" s="41"/>
      <c r="H24" s="39"/>
      <c r="I24" s="39"/>
      <c r="J24" s="39"/>
      <c r="K24" s="39"/>
      <c r="L24" s="39"/>
      <c r="M24" s="38" t="s">
        <v>29</v>
      </c>
      <c r="N24" s="26" t="str">
        <f t="shared" si="1"/>
        <v/>
      </c>
    </row>
    <row r="25" spans="1:14" x14ac:dyDescent="0.35">
      <c r="A25" s="9">
        <v>15</v>
      </c>
      <c r="B25" s="2">
        <v>2024</v>
      </c>
      <c r="C25" s="3">
        <v>3</v>
      </c>
      <c r="D25" s="12" t="s">
        <v>27</v>
      </c>
      <c r="E25" s="3">
        <v>1</v>
      </c>
      <c r="F25" s="23">
        <v>310</v>
      </c>
      <c r="G25" s="36">
        <v>2.7</v>
      </c>
      <c r="H25" s="12">
        <v>1</v>
      </c>
      <c r="I25" s="12">
        <v>0</v>
      </c>
      <c r="J25" s="12">
        <v>0</v>
      </c>
      <c r="K25" s="12">
        <v>1</v>
      </c>
      <c r="L25" s="12">
        <v>0</v>
      </c>
      <c r="M25" s="3" t="str">
        <f t="shared" si="0"/>
        <v/>
      </c>
      <c r="N25" s="26">
        <f t="shared" si="1"/>
        <v>114.81481481481481</v>
      </c>
    </row>
    <row r="26" spans="1:14" x14ac:dyDescent="0.35">
      <c r="A26" s="9">
        <v>16</v>
      </c>
      <c r="B26" s="37">
        <v>20242</v>
      </c>
      <c r="C26" s="3">
        <v>3</v>
      </c>
      <c r="D26" s="12" t="s">
        <v>27</v>
      </c>
      <c r="E26" s="3">
        <v>1</v>
      </c>
      <c r="F26" s="23">
        <v>436</v>
      </c>
      <c r="G26" s="36">
        <v>2.9</v>
      </c>
      <c r="H26" s="12">
        <v>1</v>
      </c>
      <c r="I26" s="12">
        <v>1</v>
      </c>
      <c r="J26" s="12">
        <v>0</v>
      </c>
      <c r="K26" s="12">
        <v>0</v>
      </c>
      <c r="L26" s="12">
        <v>0</v>
      </c>
      <c r="M26" s="3" t="s">
        <v>28</v>
      </c>
      <c r="N26" s="26">
        <f t="shared" si="1"/>
        <v>150.34482758620689</v>
      </c>
    </row>
    <row r="27" spans="1:14" x14ac:dyDescent="0.35">
      <c r="A27" s="9">
        <v>17</v>
      </c>
      <c r="B27" s="2">
        <v>2025</v>
      </c>
      <c r="C27" s="3">
        <v>3</v>
      </c>
      <c r="D27" s="12" t="s">
        <v>27</v>
      </c>
      <c r="E27" s="3">
        <v>1</v>
      </c>
      <c r="F27" s="23">
        <v>275</v>
      </c>
      <c r="G27" s="36">
        <v>2</v>
      </c>
      <c r="H27" s="12">
        <v>1</v>
      </c>
      <c r="I27" s="12">
        <v>0</v>
      </c>
      <c r="J27" s="12">
        <v>0</v>
      </c>
      <c r="K27" s="12">
        <v>1</v>
      </c>
      <c r="L27" s="12">
        <v>0</v>
      </c>
      <c r="M27" s="3" t="str">
        <f t="shared" si="0"/>
        <v/>
      </c>
      <c r="N27" s="26">
        <f t="shared" si="1"/>
        <v>137.5</v>
      </c>
    </row>
    <row r="28" spans="1:14" x14ac:dyDescent="0.35">
      <c r="A28" s="9">
        <v>18</v>
      </c>
      <c r="B28" s="2">
        <v>5970</v>
      </c>
      <c r="C28" s="3">
        <v>3</v>
      </c>
      <c r="D28" s="12" t="s">
        <v>27</v>
      </c>
      <c r="E28" s="3">
        <v>1</v>
      </c>
      <c r="F28" s="23">
        <v>437</v>
      </c>
      <c r="G28" s="36">
        <v>3.1</v>
      </c>
      <c r="H28" s="12">
        <v>1</v>
      </c>
      <c r="I28" s="12">
        <v>0</v>
      </c>
      <c r="J28" s="12">
        <v>0</v>
      </c>
      <c r="K28" s="12">
        <v>1</v>
      </c>
      <c r="L28" s="12">
        <v>0</v>
      </c>
      <c r="M28" s="3" t="str">
        <f t="shared" si="0"/>
        <v/>
      </c>
      <c r="N28" s="26">
        <f t="shared" si="1"/>
        <v>140.96774193548387</v>
      </c>
    </row>
    <row r="29" spans="1:14" x14ac:dyDescent="0.35">
      <c r="A29" s="9">
        <v>19</v>
      </c>
      <c r="B29" s="2">
        <v>2033</v>
      </c>
      <c r="C29" s="3">
        <v>4</v>
      </c>
      <c r="D29" s="12" t="s">
        <v>27</v>
      </c>
      <c r="E29" s="3">
        <v>1</v>
      </c>
      <c r="F29" s="23">
        <v>224</v>
      </c>
      <c r="G29" s="36">
        <v>2.1</v>
      </c>
      <c r="H29" s="12">
        <v>1</v>
      </c>
      <c r="I29" s="12">
        <v>1</v>
      </c>
      <c r="J29" s="12">
        <v>0</v>
      </c>
      <c r="K29" s="12">
        <v>0</v>
      </c>
      <c r="L29" s="12">
        <v>1</v>
      </c>
      <c r="M29" s="3" t="s">
        <v>30</v>
      </c>
      <c r="N29" s="26">
        <f t="shared" si="1"/>
        <v>106.66666666666666</v>
      </c>
    </row>
    <row r="30" spans="1:14" x14ac:dyDescent="0.35">
      <c r="A30" s="9">
        <v>20</v>
      </c>
      <c r="B30" s="37">
        <v>20332</v>
      </c>
      <c r="C30" s="3">
        <v>4</v>
      </c>
      <c r="D30" s="12" t="s">
        <v>27</v>
      </c>
      <c r="E30" s="3">
        <v>1</v>
      </c>
      <c r="F30" s="23">
        <v>190</v>
      </c>
      <c r="G30" s="36">
        <v>1.2</v>
      </c>
      <c r="H30" s="12">
        <v>1</v>
      </c>
      <c r="I30" s="12">
        <v>0</v>
      </c>
      <c r="J30" s="12">
        <v>0</v>
      </c>
      <c r="K30" s="12">
        <v>0</v>
      </c>
      <c r="L30" s="12">
        <v>0</v>
      </c>
      <c r="M30" s="3" t="s">
        <v>30</v>
      </c>
      <c r="N30" s="26">
        <f t="shared" si="1"/>
        <v>158.33333333333334</v>
      </c>
    </row>
    <row r="31" spans="1:14" x14ac:dyDescent="0.35">
      <c r="A31" s="9">
        <v>21</v>
      </c>
      <c r="B31" s="2">
        <v>2034</v>
      </c>
      <c r="C31" s="3">
        <v>4</v>
      </c>
      <c r="D31" s="12" t="s">
        <v>27</v>
      </c>
      <c r="E31" s="3">
        <v>1</v>
      </c>
      <c r="F31" s="23">
        <v>298</v>
      </c>
      <c r="G31" s="36">
        <v>2.4</v>
      </c>
      <c r="H31" s="12">
        <v>1</v>
      </c>
      <c r="I31" s="12">
        <v>1</v>
      </c>
      <c r="J31" s="12">
        <v>0</v>
      </c>
      <c r="K31" s="12">
        <v>0</v>
      </c>
      <c r="L31" s="12">
        <v>1</v>
      </c>
      <c r="M31" s="3" t="str">
        <f t="shared" si="0"/>
        <v/>
      </c>
      <c r="N31" s="26">
        <f t="shared" si="1"/>
        <v>124.16666666666667</v>
      </c>
    </row>
    <row r="32" spans="1:14" x14ac:dyDescent="0.35">
      <c r="A32" s="9">
        <v>22</v>
      </c>
      <c r="B32" s="37">
        <v>20342</v>
      </c>
      <c r="C32" s="3">
        <v>4</v>
      </c>
      <c r="D32" s="12" t="s">
        <v>27</v>
      </c>
      <c r="E32" s="3">
        <v>1</v>
      </c>
      <c r="F32" s="23">
        <v>321</v>
      </c>
      <c r="G32" s="36">
        <v>2.6</v>
      </c>
      <c r="H32" s="12">
        <v>2</v>
      </c>
      <c r="I32" s="12">
        <v>0</v>
      </c>
      <c r="J32" s="12">
        <v>0</v>
      </c>
      <c r="K32" s="12">
        <v>1</v>
      </c>
      <c r="L32" s="12">
        <v>1</v>
      </c>
      <c r="M32" s="3" t="s">
        <v>30</v>
      </c>
      <c r="N32" s="26">
        <f t="shared" si="1"/>
        <v>123.46153846153845</v>
      </c>
    </row>
    <row r="33" spans="1:14" x14ac:dyDescent="0.35">
      <c r="A33" s="9">
        <v>23</v>
      </c>
      <c r="B33" s="2">
        <v>2035</v>
      </c>
      <c r="C33" s="3">
        <v>4</v>
      </c>
      <c r="D33" s="12" t="s">
        <v>27</v>
      </c>
      <c r="E33" s="3">
        <v>1</v>
      </c>
      <c r="F33" s="23">
        <v>353</v>
      </c>
      <c r="G33" s="36">
        <v>3.1</v>
      </c>
      <c r="H33" s="12">
        <v>1</v>
      </c>
      <c r="I33" s="12">
        <v>0</v>
      </c>
      <c r="J33" s="12">
        <v>0</v>
      </c>
      <c r="K33" s="12">
        <v>1</v>
      </c>
      <c r="L33" s="12">
        <v>0</v>
      </c>
      <c r="M33" s="3" t="s">
        <v>28</v>
      </c>
      <c r="N33" s="26">
        <f t="shared" si="1"/>
        <v>113.87096774193549</v>
      </c>
    </row>
    <row r="34" spans="1:14" x14ac:dyDescent="0.35">
      <c r="A34" s="9">
        <v>24</v>
      </c>
      <c r="B34" s="2">
        <v>5971</v>
      </c>
      <c r="C34" s="3">
        <v>4</v>
      </c>
      <c r="D34" s="12" t="s">
        <v>27</v>
      </c>
      <c r="E34" s="3">
        <v>1</v>
      </c>
      <c r="F34" s="23">
        <v>192</v>
      </c>
      <c r="G34" s="36">
        <v>1.5</v>
      </c>
      <c r="H34" s="12">
        <v>1</v>
      </c>
      <c r="I34" s="12">
        <v>0</v>
      </c>
      <c r="J34" s="12">
        <v>0</v>
      </c>
      <c r="K34" s="12">
        <v>1</v>
      </c>
      <c r="L34" s="12">
        <v>0</v>
      </c>
      <c r="M34" s="3" t="str">
        <f t="shared" si="0"/>
        <v/>
      </c>
      <c r="N34" s="26">
        <f t="shared" si="1"/>
        <v>128</v>
      </c>
    </row>
    <row r="35" spans="1:14" ht="15" thickBot="1" x14ac:dyDescent="0.4">
      <c r="A35" s="32" t="s">
        <v>31</v>
      </c>
      <c r="E35" s="30">
        <f>IF(COUNT(E11:E34)=0,0,AVERAGE(E11:E34))</f>
        <v>0.91666666666666663</v>
      </c>
      <c r="F35" s="30">
        <f>IF(COUNT(F11:F34)=0,0,AVERAGE(F11:F34))</f>
        <v>356.54545454545456</v>
      </c>
      <c r="G35" s="30">
        <f>IF(COUNT(G11:G34)=0,0,AVERAGE(G11:G34))</f>
        <v>2.936363636363637</v>
      </c>
    </row>
  </sheetData>
  <conditionalFormatting sqref="E11:L34">
    <cfRule type="expression" dxfId="3" priority="2">
      <formula>LEN(E11)=0</formula>
    </cfRule>
  </conditionalFormatting>
  <conditionalFormatting sqref="H11:L34">
    <cfRule type="expression" dxfId="2" priority="1">
      <formula>"ISBLANK(H11)"</formula>
    </cfRule>
  </conditionalFormatting>
  <conditionalFormatting sqref="N11:N34">
    <cfRule type="expression" dxfId="1" priority="16">
      <formula>"ISBLANK(H11)"</formula>
    </cfRule>
    <cfRule type="expression" dxfId="0" priority="17">
      <formula>LEN(N11)=0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4" xr:uid="{00000000-0002-0000-0000-000002000000}">
      <formula1>LookupNames</formula1>
    </dataValidation>
    <dataValidation type="list" allowBlank="1" showInputMessage="1" showErrorMessage="1" sqref="E11:E34" xr:uid="{00000000-0002-0000-0000-000003000000}">
      <formula1>Vitality</formula1>
    </dataValidation>
    <dataValidation type="list" allowBlank="1" showInputMessage="1" showErrorMessage="1" sqref="H11:H34" xr:uid="{00000000-0002-0000-0000-000004000000}">
      <formula1>Quality</formula1>
    </dataValidation>
    <dataValidation type="list" allowBlank="1" showInputMessage="1" showErrorMessage="1" sqref="I11:I34" xr:uid="{00000000-0002-0000-0000-000005000000}">
      <formula1>Fork</formula1>
    </dataValidation>
    <dataValidation type="list" allowBlank="1" showInputMessage="1" showErrorMessage="1" sqref="J11:J34" xr:uid="{00000000-0002-0000-0000-000006000000}">
      <formula1>Liana</formula1>
    </dataValidation>
    <dataValidation type="list" allowBlank="1" showInputMessage="1" showErrorMessage="1" sqref="K11:K34" xr:uid="{00000000-0002-0000-0000-000007000000}">
      <formula1>Shoot_Old</formula1>
    </dataValidation>
    <dataValidation type="list" allowBlank="1" showInputMessage="1" showErrorMessage="1" sqref="L11:L34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7" t="s">
        <v>32</v>
      </c>
      <c r="B1" s="17" t="s">
        <v>33</v>
      </c>
      <c r="C1" s="17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5">
      <c r="A2" t="s">
        <v>41</v>
      </c>
      <c r="B2" t="s">
        <v>42</v>
      </c>
      <c r="C2" t="str">
        <f>A2 &amp; " (" &amp; B2 &amp; ")"</f>
        <v>Swietenia macrophylla (Cauba)</v>
      </c>
      <c r="E2">
        <v>0</v>
      </c>
      <c r="F2" t="s">
        <v>43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43</v>
      </c>
      <c r="H4">
        <v>2</v>
      </c>
      <c r="I4" t="s">
        <v>43</v>
      </c>
      <c r="J4" t="s">
        <v>43</v>
      </c>
    </row>
    <row r="5" spans="1:10" x14ac:dyDescent="0.35">
      <c r="E5">
        <v>3</v>
      </c>
      <c r="F5">
        <v>3</v>
      </c>
      <c r="H5" t="s">
        <v>43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66A6EE-957E-4398-B5C1-8F8F6301A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F51254-188D-4F34-A681-B3462836A5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1AAF2A-6FF8-46C6-A8BB-14FFAE0AAA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