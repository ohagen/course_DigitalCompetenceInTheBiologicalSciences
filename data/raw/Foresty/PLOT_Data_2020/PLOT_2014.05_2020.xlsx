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D50842A7-7159-4981-A854-8780987B1F6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PLOT" sheetId="1" r:id="rId1"/>
    <sheet name="Lists" sheetId="2" r:id="rId2"/>
  </sheets>
  <definedNames>
    <definedName name="Fork">Table4[Fork]</definedName>
    <definedName name="Liana">Table5[Liana]</definedName>
    <definedName name="LookupNames">Table1[Lookup name]</definedName>
    <definedName name="Quality">Table3[Quality]</definedName>
    <definedName name="Shoot_New">Table7[Shoot New]</definedName>
    <definedName name="Shoot_Old">Table6[Shoot Old]</definedName>
    <definedName name="Vitality">Table2[Vitality]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1" i="1" l="1"/>
  <c r="M31" i="1" l="1"/>
  <c r="L31" i="1"/>
  <c r="K31" i="1"/>
  <c r="J31" i="1"/>
  <c r="I31" i="1"/>
  <c r="H31" i="1"/>
  <c r="G31" i="1"/>
  <c r="N11" i="1" l="1"/>
  <c r="N33" i="1"/>
  <c r="N29" i="1"/>
  <c r="N25" i="1"/>
  <c r="N21" i="1"/>
  <c r="N17" i="1"/>
  <c r="N13" i="1"/>
  <c r="N12" i="1"/>
  <c r="N15" i="1" l="1"/>
  <c r="N19" i="1"/>
  <c r="N23" i="1"/>
  <c r="N27" i="1"/>
  <c r="N35" i="1"/>
  <c r="N18" i="1"/>
  <c r="N22" i="1"/>
  <c r="N26" i="1"/>
  <c r="N30" i="1"/>
  <c r="N34" i="1"/>
  <c r="N16" i="1"/>
  <c r="N20" i="1"/>
  <c r="N24" i="1"/>
  <c r="N28" i="1"/>
  <c r="N32" i="1"/>
  <c r="N36" i="1"/>
  <c r="N14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2" i="1"/>
  <c r="M33" i="1"/>
  <c r="M34" i="1"/>
  <c r="M35" i="1"/>
  <c r="M36" i="1"/>
  <c r="M11" i="1"/>
  <c r="C2" i="2" l="1"/>
  <c r="E37" i="1" l="1"/>
  <c r="N31" i="1"/>
  <c r="F37" i="1"/>
  <c r="G37" i="1"/>
</calcChain>
</file>

<file path=xl/sharedStrings.xml><?xml version="1.0" encoding="utf-8"?>
<sst xmlns="http://schemas.openxmlformats.org/spreadsheetml/2006/main" count="77" uniqueCount="45">
  <si>
    <t>Field Observation Date [dd.mm.yy]</t>
  </si>
  <si>
    <t>Total 2019</t>
  </si>
  <si>
    <t>Field Reporter</t>
  </si>
  <si>
    <t>Total 2020</t>
  </si>
  <si>
    <t>Digitalization Date [dd.mm.yyy]</t>
  </si>
  <si>
    <t>Digitalized by</t>
  </si>
  <si>
    <t>Planting Site Nr [yyyy.id]</t>
  </si>
  <si>
    <t>Azimut of line</t>
  </si>
  <si>
    <t xml:space="preserve">Other Observations </t>
  </si>
  <si>
    <t>Picture numbers</t>
  </si>
  <si>
    <t>Tree nr.</t>
  </si>
  <si>
    <t>Tag Nr.</t>
  </si>
  <si>
    <t>line Nr.</t>
  </si>
  <si>
    <t>Species</t>
  </si>
  <si>
    <t>Vitality [can you give me the range?]</t>
  </si>
  <si>
    <t>Height</t>
  </si>
  <si>
    <t>DBH</t>
  </si>
  <si>
    <t>Quality [can you give me the range?]</t>
  </si>
  <si>
    <t>Fork [can you give me the range?]</t>
  </si>
  <si>
    <t>Liana signs</t>
  </si>
  <si>
    <t>Shootborer Old</t>
  </si>
  <si>
    <t>Shootborer New</t>
  </si>
  <si>
    <t>Comments</t>
  </si>
  <si>
    <t>H/D</t>
  </si>
  <si>
    <t>[0-Dead, 1-Good, 2-Fair, 3-Bad]</t>
  </si>
  <si>
    <t>[cm]</t>
  </si>
  <si>
    <t>[1-Good, 2-Fair, 3-Bad]</t>
  </si>
  <si>
    <t>[0-No, 1-Yes]</t>
  </si>
  <si>
    <t>[0-No, 1-Light, 2-Strong]</t>
  </si>
  <si>
    <t>Swietenia macrophylla (Cauba)</t>
  </si>
  <si>
    <t>MEAN</t>
  </si>
  <si>
    <t>Scientific name</t>
  </si>
  <si>
    <t>Popular name</t>
  </si>
  <si>
    <t>Lookup name</t>
  </si>
  <si>
    <t>Vitality</t>
  </si>
  <si>
    <t>Quality</t>
  </si>
  <si>
    <t>Fork</t>
  </si>
  <si>
    <t>Liana</t>
  </si>
  <si>
    <t>Shoot Old</t>
  </si>
  <si>
    <t>Shoot New</t>
  </si>
  <si>
    <t>Swietenia macrophylla</t>
  </si>
  <si>
    <t>Cauba</t>
  </si>
  <si>
    <t>NA</t>
  </si>
  <si>
    <t>Esther Segger, Matthias Osli, Oskar Hagen</t>
  </si>
  <si>
    <t>Esther Segger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</si>
</sst>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7030A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2" xfId="0" applyBorder="1"/>
    <xf numFmtId="0" fontId="3" fillId="0" borderId="3" xfId="0" applyFont="1" applyBorder="1" applyAlignment="1">
      <alignment horizontal="left"/>
    </xf>
    <xf numFmtId="0" fontId="3" fillId="0" borderId="2" xfId="0" applyFont="1" applyBorder="1"/>
    <xf numFmtId="0" fontId="2" fillId="0" borderId="2" xfId="0" applyFont="1" applyBorder="1" applyAlignment="1">
      <alignment horizontal="left"/>
    </xf>
    <xf numFmtId="0" fontId="2" fillId="0" borderId="2" xfId="0" applyFont="1" applyBorder="1"/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left"/>
    </xf>
    <xf numFmtId="0" fontId="3" fillId="0" borderId="6" xfId="0" applyFont="1" applyBorder="1"/>
    <xf numFmtId="0" fontId="2" fillId="0" borderId="7" xfId="0" applyFont="1" applyBorder="1" applyAlignment="1">
      <alignment horizontal="left"/>
    </xf>
    <xf numFmtId="0" fontId="0" fillId="0" borderId="7" xfId="0" applyBorder="1" applyAlignment="1">
      <alignment horizontal="center"/>
    </xf>
    <xf numFmtId="0" fontId="0" fillId="3" borderId="6" xfId="0" applyFill="1" applyBorder="1"/>
    <xf numFmtId="0" fontId="2" fillId="2" borderId="10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" fontId="3" fillId="0" borderId="6" xfId="0" applyNumberFormat="1" applyFont="1" applyBorder="1"/>
    <xf numFmtId="0" fontId="1" fillId="4" borderId="8" xfId="0" applyFont="1" applyFill="1" applyBorder="1" applyAlignment="1">
      <alignment horizontal="right" vertical="center"/>
    </xf>
    <xf numFmtId="0" fontId="1" fillId="5" borderId="8" xfId="0" applyFont="1" applyFill="1" applyBorder="1" applyAlignment="1">
      <alignment horizontal="right" vertical="center"/>
    </xf>
    <xf numFmtId="0" fontId="3" fillId="0" borderId="11" xfId="0" applyFont="1" applyBorder="1"/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6" borderId="15" xfId="0" applyFont="1" applyFill="1" applyBorder="1" applyAlignment="1">
      <alignment horizontal="center"/>
    </xf>
    <xf numFmtId="1" fontId="4" fillId="6" borderId="12" xfId="0" applyNumberFormat="1" applyFont="1" applyFill="1" applyBorder="1"/>
    <xf numFmtId="0" fontId="4" fillId="6" borderId="14" xfId="0" applyFont="1" applyFill="1" applyBorder="1" applyAlignment="1">
      <alignment horizontal="center"/>
    </xf>
    <xf numFmtId="0" fontId="4" fillId="6" borderId="0" xfId="0" applyFont="1" applyFill="1"/>
    <xf numFmtId="14" fontId="2" fillId="0" borderId="2" xfId="0" applyNumberFormat="1" applyFont="1" applyBorder="1"/>
    <xf numFmtId="0" fontId="2" fillId="0" borderId="2" xfId="0" applyFont="1" applyBorder="1" applyAlignment="1">
      <alignment horizontal="right"/>
    </xf>
    <xf numFmtId="14" fontId="2" fillId="0" borderId="2" xfId="0" applyNumberFormat="1" applyFont="1" applyBorder="1" applyAlignment="1">
      <alignment horizontal="right"/>
    </xf>
    <xf numFmtId="164" fontId="3" fillId="0" borderId="6" xfId="0" applyNumberFormat="1" applyFont="1" applyBorder="1"/>
    <xf numFmtId="0" fontId="3" fillId="2" borderId="3" xfId="0" applyFont="1" applyFill="1" applyBorder="1" applyAlignment="1">
      <alignment horizontal="left"/>
    </xf>
    <xf numFmtId="164" fontId="4" fillId="6" borderId="12" xfId="0" applyNumberFormat="1" applyFont="1" applyFill="1" applyBorder="1"/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</cellXfs>
  <cellStyles count="1">
    <cellStyle name="Normal" xfId="0" builtinId="0"/>
  </cellStyles>
  <dxfs count="7">
    <dxf>
      <fill>
        <patternFill patternType="lightUp">
          <fgColor rgb="FFFF0000"/>
          <bgColor auto="1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rgb="FFFF0000"/>
          <bgColor auto="1"/>
        </patternFill>
      </fill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2" totalsRowShown="0" headerRowDxfId="6" headerRowBorderDxfId="5" tableBorderDxfId="4">
  <autoFilter ref="A1:C2" xr:uid="{00000000-0009-0000-0100-000001000000}"/>
  <tableColumns count="3">
    <tableColumn id="1" xr3:uid="{00000000-0010-0000-0000-000001000000}" name="Scientific name"/>
    <tableColumn id="2" xr3:uid="{00000000-0010-0000-0000-000002000000}" name="Popular name"/>
    <tableColumn id="3" xr3:uid="{00000000-0010-0000-0000-000003000000}" name="Lookup name">
      <calculatedColumnFormula>A2 &amp; " (" &amp; B2 &amp; ")"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E1:E5" totalsRowShown="0">
  <autoFilter ref="E1:E5" xr:uid="{00000000-0009-0000-0100-000002000000}"/>
  <tableColumns count="1">
    <tableColumn id="1" xr3:uid="{00000000-0010-0000-0100-000001000000}" name="Vitali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F1:F5" totalsRowShown="0">
  <autoFilter ref="F1:F5" xr:uid="{00000000-0009-0000-0100-000003000000}"/>
  <tableColumns count="1">
    <tableColumn id="1" xr3:uid="{00000000-0010-0000-0200-000001000000}" name="Qualit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G1:G4" totalsRowShown="0">
  <autoFilter ref="G1:G4" xr:uid="{00000000-0009-0000-0100-000004000000}"/>
  <tableColumns count="1">
    <tableColumn id="1" xr3:uid="{00000000-0010-0000-0300-000001000000}" name="For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H1:H5" totalsRowShown="0">
  <autoFilter ref="H1:H5" xr:uid="{00000000-0009-0000-0100-000005000000}"/>
  <tableColumns count="1">
    <tableColumn id="1" xr3:uid="{00000000-0010-0000-0400-000001000000}" name="Lian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I1:I4" totalsRowShown="0">
  <autoFilter ref="I1:I4" xr:uid="{00000000-0009-0000-0100-000006000000}"/>
  <tableColumns count="1">
    <tableColumn id="1" xr3:uid="{00000000-0010-0000-0500-000001000000}" name="Shoot Ol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J1:J4" totalsRowShown="0">
  <autoFilter ref="J1:J4" xr:uid="{00000000-0009-0000-0100-000007000000}"/>
  <tableColumns count="1">
    <tableColumn id="1" xr3:uid="{00000000-0010-0000-0600-000001000000}" name="Shoot Ne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zoomScale="85" zoomScaleNormal="85" workbookViewId="0">
      <selection activeCell="O12" sqref="O12"/>
    </sheetView>
  </sheetViews>
  <sheetFormatPr defaultColWidth="8.81640625" defaultRowHeight="14.5" x14ac:dyDescent="0.35"/>
  <cols>
    <col min="1" max="1" width="6.7265625" customWidth="1"/>
    <col min="2" max="2" width="12.7265625" customWidth="1"/>
    <col min="4" max="4" width="24.7265625" bestFit="1" customWidth="1"/>
    <col min="5" max="5" width="29.81640625" customWidth="1"/>
    <col min="6" max="6" width="10.1796875" customWidth="1"/>
    <col min="8" max="8" width="28.81640625" customWidth="1"/>
    <col min="9" max="9" width="31.81640625" customWidth="1"/>
    <col min="10" max="10" width="21.1796875" customWidth="1"/>
    <col min="11" max="11" width="25.26953125" customWidth="1"/>
    <col min="12" max="12" width="12.7265625" customWidth="1"/>
    <col min="13" max="13" width="28.26953125" customWidth="1"/>
  </cols>
  <sheetData>
    <row r="1" spans="1:14" ht="16.5" thickTop="1" thickBot="1" x14ac:dyDescent="0.4">
      <c r="A1" s="22"/>
      <c r="B1" s="22"/>
      <c r="C1" s="22"/>
      <c r="D1" s="22" t="s">
        <v>0</v>
      </c>
      <c r="E1" s="31">
        <v>43892</v>
      </c>
      <c r="F1" s="5"/>
      <c r="G1" s="1"/>
      <c r="H1" s="5" t="s">
        <v>1</v>
      </c>
      <c r="I1" s="1">
        <v>43</v>
      </c>
      <c r="J1" s="1"/>
      <c r="K1" s="1"/>
      <c r="L1" s="1"/>
      <c r="M1" s="1"/>
    </row>
    <row r="2" spans="1:14" ht="16.5" thickTop="1" thickBot="1" x14ac:dyDescent="0.4">
      <c r="A2" s="22"/>
      <c r="B2" s="22"/>
      <c r="C2" s="22"/>
      <c r="D2" s="22" t="s">
        <v>2</v>
      </c>
      <c r="E2" s="32" t="s">
        <v>43</v>
      </c>
      <c r="F2" s="5"/>
      <c r="G2" s="1"/>
      <c r="H2" s="5" t="s">
        <v>3</v>
      </c>
      <c r="I2" s="1">
        <v>43</v>
      </c>
      <c r="J2" s="1"/>
      <c r="K2" s="1"/>
      <c r="L2" s="1"/>
      <c r="M2" s="1"/>
    </row>
    <row r="3" spans="1:14" ht="16.5" thickTop="1" thickBot="1" x14ac:dyDescent="0.4">
      <c r="A3" s="23"/>
      <c r="B3" s="23"/>
      <c r="C3" s="23"/>
      <c r="D3" s="23" t="s">
        <v>4</v>
      </c>
      <c r="E3" s="33">
        <v>43950</v>
      </c>
      <c r="F3" s="5"/>
      <c r="G3" s="1"/>
      <c r="H3" s="5"/>
      <c r="I3" s="1"/>
      <c r="J3" s="1"/>
      <c r="K3" s="1"/>
      <c r="L3" s="1"/>
      <c r="M3" s="1"/>
    </row>
    <row r="4" spans="1:14" ht="16.5" thickTop="1" thickBot="1" x14ac:dyDescent="0.4">
      <c r="A4" s="23"/>
      <c r="B4" s="23"/>
      <c r="C4" s="23"/>
      <c r="D4" s="23" t="s">
        <v>5</v>
      </c>
      <c r="E4" s="32" t="s">
        <v>44</v>
      </c>
      <c r="F4" s="4"/>
      <c r="G4" s="1"/>
      <c r="H4" s="5"/>
      <c r="I4" s="1"/>
      <c r="J4" s="1"/>
      <c r="K4" s="1"/>
      <c r="L4" s="1"/>
      <c r="M4" s="1"/>
    </row>
    <row r="5" spans="1:14" ht="16.5" thickTop="1" thickBot="1" x14ac:dyDescent="0.4">
      <c r="A5" s="22"/>
      <c r="B5" s="22"/>
      <c r="C5" s="22"/>
      <c r="D5" s="22" t="s">
        <v>6</v>
      </c>
      <c r="E5" s="7">
        <v>2014.05</v>
      </c>
      <c r="F5" s="4"/>
      <c r="G5" s="6"/>
      <c r="H5" s="7"/>
      <c r="I5" s="4"/>
      <c r="J5" s="4"/>
      <c r="K5" s="8"/>
      <c r="L5" s="8"/>
      <c r="M5" s="8"/>
    </row>
    <row r="6" spans="1:14" ht="16.5" thickTop="1" thickBot="1" x14ac:dyDescent="0.4">
      <c r="A6" s="22"/>
      <c r="B6" s="22"/>
      <c r="C6" s="22"/>
      <c r="D6" s="22" t="s">
        <v>7</v>
      </c>
      <c r="E6" s="7"/>
      <c r="F6" s="4"/>
      <c r="G6" s="6"/>
      <c r="H6" s="7"/>
      <c r="I6" s="4"/>
      <c r="J6" s="4"/>
      <c r="K6" s="8"/>
      <c r="L6" s="8"/>
      <c r="M6" s="8"/>
    </row>
    <row r="7" spans="1:14" ht="16.5" thickTop="1" thickBot="1" x14ac:dyDescent="0.4">
      <c r="A7" s="22"/>
      <c r="B7" s="22"/>
      <c r="C7" s="22"/>
      <c r="D7" s="22" t="s">
        <v>8</v>
      </c>
      <c r="E7" s="7"/>
      <c r="F7" s="4"/>
      <c r="G7" s="6"/>
      <c r="H7" s="7"/>
      <c r="I7" s="4"/>
      <c r="J7" s="4"/>
      <c r="K7" s="8"/>
      <c r="L7" s="8"/>
      <c r="M7" s="8"/>
    </row>
    <row r="8" spans="1:14" ht="16.5" thickTop="1" thickBot="1" x14ac:dyDescent="0.4">
      <c r="A8" s="22"/>
      <c r="B8" s="22"/>
      <c r="C8" s="22"/>
      <c r="D8" s="22" t="s">
        <v>9</v>
      </c>
      <c r="E8" s="37"/>
      <c r="F8" s="38"/>
      <c r="G8" s="38"/>
      <c r="H8" s="39"/>
      <c r="I8" s="13"/>
      <c r="J8" s="13"/>
      <c r="K8" s="14"/>
      <c r="L8" s="14"/>
      <c r="M8" s="14"/>
    </row>
    <row r="9" spans="1:14" s="20" customFormat="1" ht="26.5" thickTop="1" x14ac:dyDescent="0.35">
      <c r="A9" s="19" t="s">
        <v>10</v>
      </c>
      <c r="B9" s="19" t="s">
        <v>11</v>
      </c>
      <c r="C9" s="17" t="s">
        <v>12</v>
      </c>
      <c r="D9" s="17" t="s">
        <v>13</v>
      </c>
      <c r="E9" s="17" t="s">
        <v>14</v>
      </c>
      <c r="F9" s="17" t="s">
        <v>15</v>
      </c>
      <c r="G9" s="17" t="s">
        <v>16</v>
      </c>
      <c r="H9" s="19" t="s">
        <v>17</v>
      </c>
      <c r="I9" s="19" t="s">
        <v>18</v>
      </c>
      <c r="J9" s="19" t="s">
        <v>19</v>
      </c>
      <c r="K9" s="17" t="s">
        <v>20</v>
      </c>
      <c r="L9" s="17" t="s">
        <v>21</v>
      </c>
      <c r="M9" s="25" t="s">
        <v>22</v>
      </c>
      <c r="N9" s="29" t="s">
        <v>23</v>
      </c>
    </row>
    <row r="10" spans="1:14" s="20" customFormat="1" ht="15" thickBot="1" x14ac:dyDescent="0.4">
      <c r="A10" s="18"/>
      <c r="B10" s="18"/>
      <c r="C10" s="16"/>
      <c r="D10" s="16"/>
      <c r="E10" s="16" t="s">
        <v>24</v>
      </c>
      <c r="F10" s="16" t="s">
        <v>25</v>
      </c>
      <c r="G10" s="16" t="s">
        <v>25</v>
      </c>
      <c r="H10" s="18" t="s">
        <v>26</v>
      </c>
      <c r="I10" s="18" t="s">
        <v>27</v>
      </c>
      <c r="J10" s="18" t="s">
        <v>28</v>
      </c>
      <c r="K10" s="18" t="s">
        <v>27</v>
      </c>
      <c r="L10" s="16" t="s">
        <v>27</v>
      </c>
      <c r="M10" s="26"/>
      <c r="N10" s="27"/>
    </row>
    <row r="11" spans="1:14" ht="15" thickTop="1" x14ac:dyDescent="0.35">
      <c r="A11" s="10">
        <v>1</v>
      </c>
      <c r="B11" s="11">
        <v>6501</v>
      </c>
      <c r="C11" s="12">
        <v>1</v>
      </c>
      <c r="D11" s="12" t="s">
        <v>29</v>
      </c>
      <c r="E11" s="12">
        <v>1</v>
      </c>
      <c r="F11" s="21">
        <v>811</v>
      </c>
      <c r="G11" s="34">
        <v>5.4</v>
      </c>
      <c r="H11" s="12">
        <v>2</v>
      </c>
      <c r="I11" s="12">
        <v>0</v>
      </c>
      <c r="J11" s="12">
        <v>0</v>
      </c>
      <c r="K11" s="12">
        <v>1</v>
      </c>
      <c r="L11" s="12">
        <v>0</v>
      </c>
      <c r="M11" s="3" t="str">
        <f t="shared" ref="M11:M36" si="0">IF(AND(NOT(ISBLANK($E11)),$E11=0),0,"")</f>
        <v/>
      </c>
      <c r="N11" s="24">
        <f>IF(OR(F11="NA",G11="NA"),"NA",IF(OR(LEN(F11)=0,LEN(G11)=0),"",F11/G11))</f>
        <v>150.18518518518516</v>
      </c>
    </row>
    <row r="12" spans="1:14" x14ac:dyDescent="0.35">
      <c r="A12" s="9">
        <v>2</v>
      </c>
      <c r="B12" s="2">
        <v>2075</v>
      </c>
      <c r="C12" s="3">
        <v>1</v>
      </c>
      <c r="D12" s="12" t="s">
        <v>29</v>
      </c>
      <c r="E12" s="3">
        <v>1</v>
      </c>
      <c r="F12" s="21">
        <v>627</v>
      </c>
      <c r="G12" s="34">
        <v>4.4000000000000004</v>
      </c>
      <c r="H12" s="12">
        <v>2</v>
      </c>
      <c r="I12" s="12">
        <v>0</v>
      </c>
      <c r="J12" s="12">
        <v>0</v>
      </c>
      <c r="K12" s="12">
        <v>0</v>
      </c>
      <c r="L12" s="12">
        <v>0</v>
      </c>
      <c r="M12" s="3" t="str">
        <f t="shared" si="0"/>
        <v/>
      </c>
      <c r="N12" s="24">
        <f t="shared" ref="N12:N36" si="1">IF(OR(F12="NA",G12="NA"),"NA",IF(OR(LEN(F12)=0,LEN(G12)=0),"",F12/G12))</f>
        <v>142.5</v>
      </c>
    </row>
    <row r="13" spans="1:14" x14ac:dyDescent="0.35">
      <c r="A13" s="9">
        <v>3</v>
      </c>
      <c r="B13" s="35">
        <v>20752</v>
      </c>
      <c r="C13" s="3">
        <v>1</v>
      </c>
      <c r="D13" s="12" t="s">
        <v>29</v>
      </c>
      <c r="E13" s="3">
        <v>1</v>
      </c>
      <c r="F13" s="21">
        <v>517</v>
      </c>
      <c r="G13" s="34">
        <v>4.8</v>
      </c>
      <c r="H13" s="12">
        <v>3</v>
      </c>
      <c r="I13" s="12">
        <v>1</v>
      </c>
      <c r="J13" s="12">
        <v>0</v>
      </c>
      <c r="K13" s="12">
        <v>1</v>
      </c>
      <c r="L13" s="12">
        <v>0</v>
      </c>
      <c r="M13" s="3" t="str">
        <f t="shared" si="0"/>
        <v/>
      </c>
      <c r="N13" s="24">
        <f t="shared" si="1"/>
        <v>107.70833333333334</v>
      </c>
    </row>
    <row r="14" spans="1:14" x14ac:dyDescent="0.35">
      <c r="A14" s="9">
        <v>4</v>
      </c>
      <c r="B14" s="2">
        <v>2074</v>
      </c>
      <c r="C14" s="3">
        <v>1</v>
      </c>
      <c r="D14" s="12" t="s">
        <v>29</v>
      </c>
      <c r="E14" s="3">
        <v>1</v>
      </c>
      <c r="F14" s="21">
        <v>745</v>
      </c>
      <c r="G14" s="34">
        <v>6.3</v>
      </c>
      <c r="H14" s="12">
        <v>1</v>
      </c>
      <c r="I14" s="12">
        <v>1</v>
      </c>
      <c r="J14" s="12">
        <v>0</v>
      </c>
      <c r="K14" s="12">
        <v>1</v>
      </c>
      <c r="L14" s="12">
        <v>0</v>
      </c>
      <c r="M14" s="3" t="str">
        <f t="shared" si="0"/>
        <v/>
      </c>
      <c r="N14" s="24">
        <f t="shared" si="1"/>
        <v>118.25396825396825</v>
      </c>
    </row>
    <row r="15" spans="1:14" x14ac:dyDescent="0.35">
      <c r="A15" s="9">
        <v>5</v>
      </c>
      <c r="B15" s="35">
        <v>20742</v>
      </c>
      <c r="C15" s="3">
        <v>1</v>
      </c>
      <c r="D15" s="12" t="s">
        <v>29</v>
      </c>
      <c r="E15" s="3">
        <v>1</v>
      </c>
      <c r="F15" s="21">
        <v>473</v>
      </c>
      <c r="G15" s="34">
        <v>3.8</v>
      </c>
      <c r="H15" s="12">
        <v>2</v>
      </c>
      <c r="I15" s="12">
        <v>1</v>
      </c>
      <c r="J15" s="12">
        <v>0</v>
      </c>
      <c r="K15" s="12">
        <v>1</v>
      </c>
      <c r="L15" s="12">
        <v>1</v>
      </c>
      <c r="M15" s="3" t="str">
        <f t="shared" si="0"/>
        <v/>
      </c>
      <c r="N15" s="24">
        <f t="shared" si="1"/>
        <v>124.47368421052632</v>
      </c>
    </row>
    <row r="16" spans="1:14" x14ac:dyDescent="0.35">
      <c r="A16" s="9">
        <v>6</v>
      </c>
      <c r="B16" s="2">
        <v>2073</v>
      </c>
      <c r="C16" s="3">
        <v>1</v>
      </c>
      <c r="D16" s="12" t="s">
        <v>29</v>
      </c>
      <c r="E16" s="3">
        <v>2</v>
      </c>
      <c r="F16" s="21">
        <v>735</v>
      </c>
      <c r="G16" s="34">
        <v>7</v>
      </c>
      <c r="H16" s="12">
        <v>2</v>
      </c>
      <c r="I16" s="12">
        <v>0</v>
      </c>
      <c r="J16" s="12">
        <v>0</v>
      </c>
      <c r="K16" s="12">
        <v>0</v>
      </c>
      <c r="L16" s="12">
        <v>0</v>
      </c>
      <c r="M16" s="3" t="str">
        <f t="shared" si="0"/>
        <v/>
      </c>
      <c r="N16" s="24">
        <f t="shared" si="1"/>
        <v>105</v>
      </c>
    </row>
    <row r="17" spans="1:14" x14ac:dyDescent="0.35">
      <c r="A17" s="9">
        <v>7</v>
      </c>
      <c r="B17" s="2">
        <v>6504</v>
      </c>
      <c r="C17" s="3">
        <v>1</v>
      </c>
      <c r="D17" s="12" t="s">
        <v>29</v>
      </c>
      <c r="E17" s="3">
        <v>1</v>
      </c>
      <c r="F17" s="21">
        <v>334</v>
      </c>
      <c r="G17" s="34">
        <v>3</v>
      </c>
      <c r="H17" s="12">
        <v>2</v>
      </c>
      <c r="I17" s="12">
        <v>0</v>
      </c>
      <c r="J17" s="12">
        <v>0</v>
      </c>
      <c r="K17" s="12">
        <v>1</v>
      </c>
      <c r="L17" s="12">
        <v>1</v>
      </c>
      <c r="M17" s="3" t="str">
        <f t="shared" si="0"/>
        <v/>
      </c>
      <c r="N17" s="24">
        <f t="shared" si="1"/>
        <v>111.33333333333333</v>
      </c>
    </row>
    <row r="18" spans="1:14" x14ac:dyDescent="0.35">
      <c r="A18" s="9">
        <v>8</v>
      </c>
      <c r="B18" s="2">
        <v>2081</v>
      </c>
      <c r="C18" s="3">
        <v>2</v>
      </c>
      <c r="D18" s="12" t="s">
        <v>29</v>
      </c>
      <c r="E18" s="3">
        <v>1</v>
      </c>
      <c r="F18" s="21">
        <v>422</v>
      </c>
      <c r="G18" s="34">
        <v>4.0999999999999996</v>
      </c>
      <c r="H18" s="12">
        <v>2</v>
      </c>
      <c r="I18" s="12">
        <v>0</v>
      </c>
      <c r="J18" s="12">
        <v>0</v>
      </c>
      <c r="K18" s="12">
        <v>1</v>
      </c>
      <c r="L18" s="12">
        <v>0</v>
      </c>
      <c r="M18" s="3" t="str">
        <f t="shared" si="0"/>
        <v/>
      </c>
      <c r="N18" s="24">
        <f t="shared" si="1"/>
        <v>102.92682926829269</v>
      </c>
    </row>
    <row r="19" spans="1:14" x14ac:dyDescent="0.35">
      <c r="A19" s="9">
        <v>9</v>
      </c>
      <c r="B19" s="35">
        <v>20812</v>
      </c>
      <c r="C19" s="3">
        <v>2</v>
      </c>
      <c r="D19" s="12" t="s">
        <v>29</v>
      </c>
      <c r="E19" s="3">
        <v>1</v>
      </c>
      <c r="F19" s="21">
        <v>518</v>
      </c>
      <c r="G19" s="34">
        <v>4</v>
      </c>
      <c r="H19" s="12">
        <v>1</v>
      </c>
      <c r="I19" s="12">
        <v>1</v>
      </c>
      <c r="J19" s="12">
        <v>0</v>
      </c>
      <c r="K19" s="12">
        <v>0</v>
      </c>
      <c r="L19" s="12">
        <v>0</v>
      </c>
      <c r="M19" s="3" t="str">
        <f t="shared" si="0"/>
        <v/>
      </c>
      <c r="N19" s="24">
        <f t="shared" si="1"/>
        <v>129.5</v>
      </c>
    </row>
    <row r="20" spans="1:14" x14ac:dyDescent="0.35">
      <c r="A20" s="9">
        <v>10</v>
      </c>
      <c r="B20" s="2">
        <v>2050</v>
      </c>
      <c r="C20" s="3">
        <v>2</v>
      </c>
      <c r="D20" s="12" t="s">
        <v>29</v>
      </c>
      <c r="E20" s="3">
        <v>1</v>
      </c>
      <c r="F20" s="21">
        <v>380</v>
      </c>
      <c r="G20" s="34">
        <v>2.2999999999999998</v>
      </c>
      <c r="H20" s="12">
        <v>2</v>
      </c>
      <c r="I20" s="12">
        <v>0</v>
      </c>
      <c r="J20" s="12">
        <v>0</v>
      </c>
      <c r="K20" s="12">
        <v>1</v>
      </c>
      <c r="L20" s="12">
        <v>1</v>
      </c>
      <c r="M20" s="3" t="str">
        <f t="shared" si="0"/>
        <v/>
      </c>
      <c r="N20" s="24">
        <f t="shared" si="1"/>
        <v>165.21739130434784</v>
      </c>
    </row>
    <row r="21" spans="1:14" x14ac:dyDescent="0.35">
      <c r="A21" s="9">
        <v>11</v>
      </c>
      <c r="B21" s="35">
        <v>20502</v>
      </c>
      <c r="C21" s="3">
        <v>2</v>
      </c>
      <c r="D21" s="12" t="s">
        <v>29</v>
      </c>
      <c r="E21" s="3">
        <v>1</v>
      </c>
      <c r="F21" s="21">
        <v>604</v>
      </c>
      <c r="G21" s="34">
        <v>6.1</v>
      </c>
      <c r="H21" s="12">
        <v>1</v>
      </c>
      <c r="I21" s="12">
        <v>1</v>
      </c>
      <c r="J21" s="12">
        <v>0</v>
      </c>
      <c r="K21" s="12">
        <v>0</v>
      </c>
      <c r="L21" s="12">
        <v>0</v>
      </c>
      <c r="M21" s="3" t="str">
        <f t="shared" si="0"/>
        <v/>
      </c>
      <c r="N21" s="24">
        <f t="shared" si="1"/>
        <v>99.016393442622956</v>
      </c>
    </row>
    <row r="22" spans="1:14" x14ac:dyDescent="0.35">
      <c r="A22" s="9">
        <v>12</v>
      </c>
      <c r="B22" s="2">
        <v>2079</v>
      </c>
      <c r="C22" s="3">
        <v>2</v>
      </c>
      <c r="D22" s="12" t="s">
        <v>29</v>
      </c>
      <c r="E22" s="3">
        <v>1</v>
      </c>
      <c r="F22" s="21">
        <v>636</v>
      </c>
      <c r="G22" s="34">
        <v>5.8</v>
      </c>
      <c r="H22" s="12">
        <v>1</v>
      </c>
      <c r="I22" s="12">
        <v>1</v>
      </c>
      <c r="J22" s="12">
        <v>0</v>
      </c>
      <c r="K22" s="12">
        <v>0</v>
      </c>
      <c r="L22" s="12">
        <v>0</v>
      </c>
      <c r="M22" s="3" t="str">
        <f t="shared" si="0"/>
        <v/>
      </c>
      <c r="N22" s="24">
        <f t="shared" si="1"/>
        <v>109.65517241379311</v>
      </c>
    </row>
    <row r="23" spans="1:14" x14ac:dyDescent="0.35">
      <c r="A23" s="9">
        <v>13</v>
      </c>
      <c r="B23" s="2">
        <v>6503</v>
      </c>
      <c r="C23" s="3">
        <v>2</v>
      </c>
      <c r="D23" s="12" t="s">
        <v>29</v>
      </c>
      <c r="E23" s="3">
        <v>1</v>
      </c>
      <c r="F23" s="21">
        <v>622</v>
      </c>
      <c r="G23" s="34">
        <v>4.9000000000000004</v>
      </c>
      <c r="H23" s="12">
        <v>1</v>
      </c>
      <c r="I23" s="12">
        <v>1</v>
      </c>
      <c r="J23" s="12">
        <v>0</v>
      </c>
      <c r="K23" s="12">
        <v>1</v>
      </c>
      <c r="L23" s="12">
        <v>0</v>
      </c>
      <c r="M23" s="3" t="str">
        <f t="shared" si="0"/>
        <v/>
      </c>
      <c r="N23" s="24">
        <f t="shared" si="1"/>
        <v>126.93877551020407</v>
      </c>
    </row>
    <row r="24" spans="1:14" x14ac:dyDescent="0.35">
      <c r="A24" s="9">
        <v>14</v>
      </c>
      <c r="B24" s="2">
        <v>6502</v>
      </c>
      <c r="C24" s="3">
        <v>3</v>
      </c>
      <c r="D24" s="12" t="s">
        <v>29</v>
      </c>
      <c r="E24" s="3">
        <v>1</v>
      </c>
      <c r="F24" s="21">
        <v>418</v>
      </c>
      <c r="G24" s="34">
        <v>3.2</v>
      </c>
      <c r="H24" s="12">
        <v>2</v>
      </c>
      <c r="I24" s="12">
        <v>0</v>
      </c>
      <c r="J24" s="12">
        <v>0</v>
      </c>
      <c r="K24" s="12">
        <v>1</v>
      </c>
      <c r="L24" s="12">
        <v>1</v>
      </c>
      <c r="M24" s="3" t="str">
        <f t="shared" si="0"/>
        <v/>
      </c>
      <c r="N24" s="24">
        <f t="shared" si="1"/>
        <v>130.625</v>
      </c>
    </row>
    <row r="25" spans="1:14" x14ac:dyDescent="0.35">
      <c r="A25" s="9">
        <v>15</v>
      </c>
      <c r="B25" s="2">
        <v>2085</v>
      </c>
      <c r="C25" s="3">
        <v>3</v>
      </c>
      <c r="D25" s="12" t="s">
        <v>29</v>
      </c>
      <c r="E25" s="3">
        <v>1</v>
      </c>
      <c r="F25" s="21">
        <v>473</v>
      </c>
      <c r="G25" s="34">
        <v>3.5</v>
      </c>
      <c r="H25" s="12">
        <v>1</v>
      </c>
      <c r="I25" s="12">
        <v>1</v>
      </c>
      <c r="J25" s="12">
        <v>0</v>
      </c>
      <c r="K25" s="12">
        <v>1</v>
      </c>
      <c r="L25" s="12">
        <v>0</v>
      </c>
      <c r="M25" s="3" t="str">
        <f t="shared" si="0"/>
        <v/>
      </c>
      <c r="N25" s="24">
        <f t="shared" si="1"/>
        <v>135.14285714285714</v>
      </c>
    </row>
    <row r="26" spans="1:14" x14ac:dyDescent="0.35">
      <c r="A26" s="9">
        <v>16</v>
      </c>
      <c r="B26" s="35">
        <v>20852</v>
      </c>
      <c r="C26" s="3">
        <v>3</v>
      </c>
      <c r="D26" s="12" t="s">
        <v>29</v>
      </c>
      <c r="E26" s="3">
        <v>1</v>
      </c>
      <c r="F26" s="21">
        <v>620</v>
      </c>
      <c r="G26" s="34">
        <v>6</v>
      </c>
      <c r="H26" s="12">
        <v>2</v>
      </c>
      <c r="I26" s="12">
        <v>0</v>
      </c>
      <c r="J26" s="12">
        <v>0</v>
      </c>
      <c r="K26" s="12">
        <v>1</v>
      </c>
      <c r="L26" s="12">
        <v>0</v>
      </c>
      <c r="M26" s="3" t="str">
        <f t="shared" si="0"/>
        <v/>
      </c>
      <c r="N26" s="24">
        <f t="shared" si="1"/>
        <v>103.33333333333333</v>
      </c>
    </row>
    <row r="27" spans="1:14" x14ac:dyDescent="0.35">
      <c r="A27" s="9">
        <v>17</v>
      </c>
      <c r="B27" s="2">
        <v>2084</v>
      </c>
      <c r="C27" s="3">
        <v>3</v>
      </c>
      <c r="D27" s="12" t="s">
        <v>29</v>
      </c>
      <c r="E27" s="3">
        <v>1</v>
      </c>
      <c r="F27" s="21">
        <v>787</v>
      </c>
      <c r="G27" s="34">
        <v>4.8</v>
      </c>
      <c r="H27" s="12">
        <v>1</v>
      </c>
      <c r="I27" s="12">
        <v>0</v>
      </c>
      <c r="J27" s="12">
        <v>0</v>
      </c>
      <c r="K27" s="12">
        <v>0</v>
      </c>
      <c r="L27" s="12">
        <v>1</v>
      </c>
      <c r="M27" s="3" t="str">
        <f t="shared" si="0"/>
        <v/>
      </c>
      <c r="N27" s="24">
        <f t="shared" si="1"/>
        <v>163.95833333333334</v>
      </c>
    </row>
    <row r="28" spans="1:14" x14ac:dyDescent="0.35">
      <c r="A28" s="9">
        <v>18</v>
      </c>
      <c r="B28" s="35">
        <v>20842</v>
      </c>
      <c r="C28" s="3">
        <v>3</v>
      </c>
      <c r="D28" s="12" t="s">
        <v>29</v>
      </c>
      <c r="E28" s="3">
        <v>1</v>
      </c>
      <c r="F28" s="21">
        <v>619</v>
      </c>
      <c r="G28" s="34">
        <v>4.2</v>
      </c>
      <c r="H28" s="12">
        <v>1</v>
      </c>
      <c r="I28" s="12">
        <v>1</v>
      </c>
      <c r="J28" s="12">
        <v>0</v>
      </c>
      <c r="K28" s="12">
        <v>1</v>
      </c>
      <c r="L28" s="12">
        <v>1</v>
      </c>
      <c r="M28" s="3" t="str">
        <f t="shared" si="0"/>
        <v/>
      </c>
      <c r="N28" s="24">
        <f t="shared" si="1"/>
        <v>147.38095238095238</v>
      </c>
    </row>
    <row r="29" spans="1:14" x14ac:dyDescent="0.35">
      <c r="A29" s="9">
        <v>19</v>
      </c>
      <c r="B29" s="2">
        <v>2083</v>
      </c>
      <c r="C29" s="3">
        <v>3</v>
      </c>
      <c r="D29" s="12" t="s">
        <v>29</v>
      </c>
      <c r="E29" s="3">
        <v>1</v>
      </c>
      <c r="F29" s="21">
        <v>536</v>
      </c>
      <c r="G29" s="34">
        <v>4.4000000000000004</v>
      </c>
      <c r="H29" s="12">
        <v>1</v>
      </c>
      <c r="I29" s="12">
        <v>0</v>
      </c>
      <c r="J29" s="12">
        <v>0</v>
      </c>
      <c r="K29" s="12">
        <v>0</v>
      </c>
      <c r="L29" s="12">
        <v>0</v>
      </c>
      <c r="M29" s="3" t="str">
        <f t="shared" si="0"/>
        <v/>
      </c>
      <c r="N29" s="24">
        <f t="shared" si="1"/>
        <v>121.81818181818181</v>
      </c>
    </row>
    <row r="30" spans="1:14" x14ac:dyDescent="0.35">
      <c r="A30" s="9">
        <v>20</v>
      </c>
      <c r="B30" s="2">
        <v>6505</v>
      </c>
      <c r="C30" s="3">
        <v>3</v>
      </c>
      <c r="D30" s="12" t="s">
        <v>29</v>
      </c>
      <c r="E30" s="3">
        <v>1</v>
      </c>
      <c r="F30" s="21">
        <v>556</v>
      </c>
      <c r="G30" s="34">
        <v>4</v>
      </c>
      <c r="H30" s="12">
        <v>1</v>
      </c>
      <c r="I30" s="12">
        <v>0</v>
      </c>
      <c r="J30" s="12">
        <v>0</v>
      </c>
      <c r="K30" s="12">
        <v>1</v>
      </c>
      <c r="L30" s="12">
        <v>1</v>
      </c>
      <c r="M30" s="3" t="str">
        <f t="shared" si="0"/>
        <v/>
      </c>
      <c r="N30" s="24">
        <f t="shared" si="1"/>
        <v>139</v>
      </c>
    </row>
    <row r="31" spans="1:14" x14ac:dyDescent="0.35">
      <c r="A31" s="9">
        <v>21</v>
      </c>
      <c r="B31" s="2"/>
      <c r="C31" s="3">
        <v>4</v>
      </c>
      <c r="D31" s="12" t="s">
        <v>29</v>
      </c>
      <c r="E31" s="3">
        <v>0</v>
      </c>
      <c r="F31" s="34" t="str">
        <f t="shared" ref="F31:L31" si="2">IF(AND(NOT(ISBLANK($E31)),$E31=0),"NA","")</f>
        <v>NA</v>
      </c>
      <c r="G31" s="34" t="str">
        <f t="shared" si="2"/>
        <v>NA</v>
      </c>
      <c r="H31" s="12" t="str">
        <f t="shared" si="2"/>
        <v>NA</v>
      </c>
      <c r="I31" s="12" t="str">
        <f t="shared" si="2"/>
        <v>NA</v>
      </c>
      <c r="J31" s="12" t="str">
        <f t="shared" si="2"/>
        <v>NA</v>
      </c>
      <c r="K31" s="12" t="str">
        <f t="shared" si="2"/>
        <v>NA</v>
      </c>
      <c r="L31" s="12" t="str">
        <f t="shared" si="2"/>
        <v>NA</v>
      </c>
      <c r="M31" s="3">
        <f t="shared" si="0"/>
        <v>0</v>
      </c>
      <c r="N31" s="24" t="str">
        <f t="shared" si="1"/>
        <v>NA</v>
      </c>
    </row>
    <row r="32" spans="1:14" x14ac:dyDescent="0.35">
      <c r="A32" s="9">
        <v>22</v>
      </c>
      <c r="B32" s="2">
        <v>2089</v>
      </c>
      <c r="C32" s="3">
        <v>4</v>
      </c>
      <c r="D32" s="12" t="s">
        <v>29</v>
      </c>
      <c r="E32" s="3">
        <v>1</v>
      </c>
      <c r="F32" s="21">
        <v>681</v>
      </c>
      <c r="G32" s="34">
        <v>5.4</v>
      </c>
      <c r="H32" s="12">
        <v>1</v>
      </c>
      <c r="I32" s="12">
        <v>0</v>
      </c>
      <c r="J32" s="12">
        <v>0</v>
      </c>
      <c r="K32" s="12">
        <v>0</v>
      </c>
      <c r="L32" s="12">
        <v>0</v>
      </c>
      <c r="M32" s="3" t="str">
        <f t="shared" si="0"/>
        <v/>
      </c>
      <c r="N32" s="24">
        <f t="shared" si="1"/>
        <v>126.1111111111111</v>
      </c>
    </row>
    <row r="33" spans="1:14" x14ac:dyDescent="0.35">
      <c r="A33" s="9">
        <v>23</v>
      </c>
      <c r="B33" s="35">
        <v>20892</v>
      </c>
      <c r="C33" s="3">
        <v>4</v>
      </c>
      <c r="D33" s="12" t="s">
        <v>29</v>
      </c>
      <c r="E33" s="3">
        <v>1</v>
      </c>
      <c r="F33" s="21">
        <v>479</v>
      </c>
      <c r="G33" s="34">
        <v>4.2</v>
      </c>
      <c r="H33" s="12">
        <v>1</v>
      </c>
      <c r="I33" s="12">
        <v>0</v>
      </c>
      <c r="J33" s="12">
        <v>0</v>
      </c>
      <c r="K33" s="12">
        <v>1</v>
      </c>
      <c r="L33" s="12">
        <v>0</v>
      </c>
      <c r="M33" s="3" t="str">
        <f t="shared" si="0"/>
        <v/>
      </c>
      <c r="N33" s="24">
        <f t="shared" si="1"/>
        <v>114.04761904761904</v>
      </c>
    </row>
    <row r="34" spans="1:14" x14ac:dyDescent="0.35">
      <c r="A34" s="9">
        <v>24</v>
      </c>
      <c r="B34" s="2">
        <v>2088</v>
      </c>
      <c r="C34" s="3">
        <v>4</v>
      </c>
      <c r="D34" s="12" t="s">
        <v>29</v>
      </c>
      <c r="E34" s="3">
        <v>1</v>
      </c>
      <c r="F34" s="21">
        <v>772</v>
      </c>
      <c r="G34" s="34">
        <v>5.3</v>
      </c>
      <c r="H34" s="12">
        <v>1</v>
      </c>
      <c r="I34" s="12">
        <v>1</v>
      </c>
      <c r="J34" s="12">
        <v>0</v>
      </c>
      <c r="K34" s="12">
        <v>1</v>
      </c>
      <c r="L34" s="12">
        <v>0</v>
      </c>
      <c r="M34" s="3" t="str">
        <f t="shared" si="0"/>
        <v/>
      </c>
      <c r="N34" s="24">
        <f t="shared" si="1"/>
        <v>145.66037735849056</v>
      </c>
    </row>
    <row r="35" spans="1:14" x14ac:dyDescent="0.35">
      <c r="A35" s="9">
        <v>25</v>
      </c>
      <c r="B35" s="35">
        <v>20882</v>
      </c>
      <c r="C35" s="3">
        <v>4</v>
      </c>
      <c r="D35" s="12" t="s">
        <v>29</v>
      </c>
      <c r="E35" s="3">
        <v>1</v>
      </c>
      <c r="F35" s="21">
        <v>608</v>
      </c>
      <c r="G35" s="34">
        <v>4.3</v>
      </c>
      <c r="H35" s="12">
        <v>1</v>
      </c>
      <c r="I35" s="12">
        <v>1</v>
      </c>
      <c r="J35" s="12">
        <v>0</v>
      </c>
      <c r="K35" s="12">
        <v>1</v>
      </c>
      <c r="L35" s="12">
        <v>0</v>
      </c>
      <c r="M35" s="3" t="str">
        <f t="shared" si="0"/>
        <v/>
      </c>
      <c r="N35" s="24">
        <f t="shared" si="1"/>
        <v>141.3953488372093</v>
      </c>
    </row>
    <row r="36" spans="1:14" x14ac:dyDescent="0.35">
      <c r="A36" s="9">
        <v>26</v>
      </c>
      <c r="B36" s="2">
        <v>5934</v>
      </c>
      <c r="C36" s="3">
        <v>4</v>
      </c>
      <c r="D36" s="12" t="s">
        <v>29</v>
      </c>
      <c r="E36" s="3">
        <v>1</v>
      </c>
      <c r="F36" s="21">
        <v>513</v>
      </c>
      <c r="G36" s="34">
        <v>4.3</v>
      </c>
      <c r="H36" s="12">
        <v>1</v>
      </c>
      <c r="I36" s="12">
        <v>0</v>
      </c>
      <c r="J36" s="12">
        <v>0</v>
      </c>
      <c r="K36" s="12">
        <v>0</v>
      </c>
      <c r="L36" s="12">
        <v>0</v>
      </c>
      <c r="M36" s="3" t="str">
        <f t="shared" si="0"/>
        <v/>
      </c>
      <c r="N36" s="24">
        <f t="shared" si="1"/>
        <v>119.30232558139535</v>
      </c>
    </row>
    <row r="37" spans="1:14" ht="15" thickBot="1" x14ac:dyDescent="0.4">
      <c r="A37" s="30" t="s">
        <v>30</v>
      </c>
      <c r="E37" s="28">
        <f>IF(COUNT(E11:E36)=0,0,AVERAGE(E11:E36))</f>
        <v>1</v>
      </c>
      <c r="F37" s="36">
        <f>IF(COUNT(F11:F36)=0,0,AVERAGE(F11:F36))</f>
        <v>579.44000000000005</v>
      </c>
      <c r="G37" s="36">
        <f>IF(COUNT(G11:G36)=0,0,AVERAGE(G11:G36))</f>
        <v>4.62</v>
      </c>
    </row>
  </sheetData>
  <mergeCells count="1">
    <mergeCell ref="E8:H8"/>
  </mergeCells>
  <conditionalFormatting sqref="E11:L36">
    <cfRule type="expression" dxfId="3" priority="2">
      <formula>LEN(E11)=0</formula>
    </cfRule>
  </conditionalFormatting>
  <conditionalFormatting sqref="H11:L36">
    <cfRule type="expression" dxfId="2" priority="1">
      <formula>"ISBLANK(H11)"</formula>
    </cfRule>
  </conditionalFormatting>
  <conditionalFormatting sqref="N11:N36">
    <cfRule type="expression" dxfId="1" priority="18">
      <formula>"ISBLANK(H11)"</formula>
    </cfRule>
    <cfRule type="expression" dxfId="0" priority="19">
      <formula>LEN(N11)=0</formula>
    </cfRule>
  </conditionalFormatting>
  <dataValidations count="9">
    <dataValidation type="custom" allowBlank="1" showInputMessage="1" showErrorMessage="1" errorTitle="Not a Valid Date Format" error="Please ented date as:_x000a__x000a_dd.mm.yyyy (e.g. 24.01.2019)" sqref="B1:B3" xr:uid="{00000000-0002-0000-0000-000000000000}">
      <formula1>AND(VALUE(LEFT(B1,2))&lt;32,MID(B1,3,1)=".",VALUE(MID(B1,4,2))&lt;13,MID(B1,6,1)=".", VALUE(RIGHT(B1,4))&gt;2000)</formula1>
    </dataValidation>
    <dataValidation type="decimal" allowBlank="1" showInputMessage="1" showErrorMessage="1" sqref="B4" xr:uid="{00000000-0002-0000-0000-000001000000}">
      <formula1>1980</formula1>
      <formula2>3000</formula2>
    </dataValidation>
    <dataValidation type="list" allowBlank="1" showInputMessage="1" showErrorMessage="1" sqref="D11:D36" xr:uid="{00000000-0002-0000-0000-000002000000}">
      <formula1>LookupNames</formula1>
    </dataValidation>
    <dataValidation type="list" allowBlank="1" showInputMessage="1" showErrorMessage="1" sqref="E11:E36" xr:uid="{00000000-0002-0000-0000-000003000000}">
      <formula1>Vitality</formula1>
    </dataValidation>
    <dataValidation type="list" allowBlank="1" showInputMessage="1" showErrorMessage="1" sqref="H11:H36" xr:uid="{00000000-0002-0000-0000-000004000000}">
      <formula1>Quality</formula1>
    </dataValidation>
    <dataValidation type="list" allowBlank="1" showInputMessage="1" showErrorMessage="1" sqref="I11:I36" xr:uid="{00000000-0002-0000-0000-000005000000}">
      <formula1>Fork</formula1>
    </dataValidation>
    <dataValidation type="list" allowBlank="1" showInputMessage="1" showErrorMessage="1" sqref="J11:J36" xr:uid="{00000000-0002-0000-0000-000006000000}">
      <formula1>Liana</formula1>
    </dataValidation>
    <dataValidation type="list" allowBlank="1" showInputMessage="1" showErrorMessage="1" sqref="K11:K36" xr:uid="{00000000-0002-0000-0000-000007000000}">
      <formula1>Shoot_Old</formula1>
    </dataValidation>
    <dataValidation type="list" allowBlank="1" showInputMessage="1" showErrorMessage="1" sqref="L11:L36" xr:uid="{00000000-0002-0000-0000-000008000000}">
      <formula1>Shoot_New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>
      <selection activeCell="E3" sqref="E3"/>
    </sheetView>
  </sheetViews>
  <sheetFormatPr defaultColWidth="8.81640625" defaultRowHeight="14.5" x14ac:dyDescent="0.35"/>
  <cols>
    <col min="1" max="1" width="22.7265625" customWidth="1"/>
    <col min="2" max="2" width="14.7265625" bestFit="1" customWidth="1"/>
    <col min="3" max="3" width="29.7265625" bestFit="1" customWidth="1"/>
    <col min="5" max="10" width="19.7265625" customWidth="1"/>
  </cols>
  <sheetData>
    <row r="1" spans="1:10" x14ac:dyDescent="0.35">
      <c r="A1" s="15" t="s">
        <v>31</v>
      </c>
      <c r="B1" s="15" t="s">
        <v>32</v>
      </c>
      <c r="C1" s="15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</row>
    <row r="2" spans="1:10" x14ac:dyDescent="0.35">
      <c r="A2" t="s">
        <v>40</v>
      </c>
      <c r="B2" t="s">
        <v>41</v>
      </c>
      <c r="C2" t="str">
        <f>A2 &amp; " (" &amp; B2 &amp; ")"</f>
        <v>Swietenia macrophylla (Cauba)</v>
      </c>
      <c r="E2">
        <v>0</v>
      </c>
      <c r="F2" t="s">
        <v>42</v>
      </c>
      <c r="G2">
        <v>0</v>
      </c>
      <c r="H2">
        <v>0</v>
      </c>
      <c r="I2">
        <v>0</v>
      </c>
      <c r="J2">
        <v>0</v>
      </c>
    </row>
    <row r="3" spans="1:10" x14ac:dyDescent="0.35">
      <c r="E3">
        <v>1</v>
      </c>
      <c r="F3">
        <v>1</v>
      </c>
      <c r="G3">
        <v>1</v>
      </c>
      <c r="H3">
        <v>1</v>
      </c>
      <c r="I3">
        <v>1</v>
      </c>
      <c r="J3">
        <v>1</v>
      </c>
    </row>
    <row r="4" spans="1:10" x14ac:dyDescent="0.35">
      <c r="E4">
        <v>2</v>
      </c>
      <c r="F4">
        <v>2</v>
      </c>
      <c r="G4" t="s">
        <v>42</v>
      </c>
      <c r="H4">
        <v>2</v>
      </c>
      <c r="I4" t="s">
        <v>42</v>
      </c>
      <c r="J4" t="s">
        <v>42</v>
      </c>
    </row>
    <row r="5" spans="1:10" x14ac:dyDescent="0.35">
      <c r="E5">
        <v>3</v>
      </c>
      <c r="F5">
        <v>3</v>
      </c>
      <c r="H5" t="s">
        <v>42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AD4B5EB67CF8948AB88EC4783EBB902" ma:contentTypeVersion="12" ma:contentTypeDescription="Ein neues Dokument erstellen." ma:contentTypeScope="" ma:versionID="cf5bfd3a3dc57f6b03a8b41d3a193e31">
  <xsd:schema xmlns:xsd="http://www.w3.org/2001/XMLSchema" xmlns:xs="http://www.w3.org/2001/XMLSchema" xmlns:p="http://schemas.microsoft.com/office/2006/metadata/properties" xmlns:ns2="91356515-81bc-4b9c-a7d5-5cbc2d043419" xmlns:ns3="eaa3a4e2-322f-4d05-a271-c4c727146c7e" targetNamespace="http://schemas.microsoft.com/office/2006/metadata/properties" ma:root="true" ma:fieldsID="d8b7f4874ebd4874057922bd57c36178" ns2:_="" ns3:_="">
    <xsd:import namespace="91356515-81bc-4b9c-a7d5-5cbc2d043419"/>
    <xsd:import namespace="eaa3a4e2-322f-4d05-a271-c4c727146c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356515-81bc-4b9c-a7d5-5cbc2d0434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a3a4e2-322f-4d05-a271-c4c727146c7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43DDF9-2096-466B-9CE6-67C52459791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19E533E-0A46-4AA8-8020-4F7CF21234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356515-81bc-4b9c-a7d5-5cbc2d043419"/>
    <ds:schemaRef ds:uri="eaa3a4e2-322f-4d05-a271-c4c727146c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D8084FF-AEB6-4070-ADEB-4D6E720ABC6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PLOT</vt:lpstr>
      <vt:lpstr>Lists</vt:lpstr>
      <vt:lpstr>Fork</vt:lpstr>
      <vt:lpstr>Liana</vt:lpstr>
      <vt:lpstr>LookupNames</vt:lpstr>
      <vt:lpstr>Quality</vt:lpstr>
      <vt:lpstr>Shoot_New</vt:lpstr>
      <vt:lpstr>Shoot_Old</vt:lpstr>
      <vt:lpstr>Vitality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2026-01-07T10:31:55Z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0x0101005AD4B5EB67CF8948AB88EC4783EBB902</vt:lpwstr>
  </property>
</Properties>
</file>