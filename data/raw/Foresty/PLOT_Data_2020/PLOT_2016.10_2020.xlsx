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D7C878D-889B-4A1C-8898-0C36A56E300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OT" sheetId="1" r:id="rId1"/>
    <sheet name="Lists" sheetId="2" r:id="rId2"/>
  </sheets>
  <definedNames>
    <definedName name="Fork">Table4[Fork]</definedName>
    <definedName name="Liana">Table5[Liana]</definedName>
    <definedName name="LookupNames">Table1[Lookup name]</definedName>
    <definedName name="Quality">Table3[Quality]</definedName>
    <definedName name="Shoot_New">Table7[Shoot New]</definedName>
    <definedName name="Shoot_Old">Table6[Shoot Old]</definedName>
    <definedName name="Vitality">Table2[Vitality]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7" i="1" l="1"/>
  <c r="N29" i="1"/>
  <c r="N52" i="1" l="1"/>
  <c r="N51" i="1"/>
  <c r="E54" i="1" l="1"/>
  <c r="N11" i="1" l="1"/>
  <c r="N13" i="1"/>
  <c r="N12" i="1"/>
  <c r="N47" i="1" l="1"/>
  <c r="N53" i="1"/>
  <c r="N15" i="1"/>
  <c r="N17" i="1"/>
  <c r="N19" i="1"/>
  <c r="N21" i="1"/>
  <c r="N23" i="1"/>
  <c r="N25" i="1"/>
  <c r="N27" i="1"/>
  <c r="N30" i="1"/>
  <c r="N32" i="1"/>
  <c r="N34" i="1"/>
  <c r="N36" i="1"/>
  <c r="N38" i="1"/>
  <c r="N48" i="1"/>
  <c r="N44" i="1"/>
  <c r="N40" i="1"/>
  <c r="N45" i="1"/>
  <c r="N18" i="1"/>
  <c r="N22" i="1"/>
  <c r="N26" i="1"/>
  <c r="N31" i="1"/>
  <c r="N35" i="1"/>
  <c r="N39" i="1"/>
  <c r="N46" i="1"/>
  <c r="N41" i="1"/>
  <c r="F54" i="1"/>
  <c r="N16" i="1"/>
  <c r="N20" i="1"/>
  <c r="N24" i="1"/>
  <c r="N28" i="1"/>
  <c r="N33" i="1"/>
  <c r="N37" i="1"/>
  <c r="N50" i="1"/>
  <c r="N42" i="1"/>
  <c r="N49" i="1"/>
  <c r="N43" i="1"/>
  <c r="G54" i="1"/>
  <c r="N14" i="1"/>
  <c r="M18" i="1"/>
  <c r="M19" i="1"/>
  <c r="M20" i="1"/>
  <c r="M21" i="1"/>
  <c r="M22" i="1"/>
  <c r="M23" i="1"/>
  <c r="M24" i="1"/>
  <c r="M25" i="1"/>
  <c r="M26" i="1"/>
  <c r="M27" i="1"/>
  <c r="M28" i="1"/>
  <c r="M30" i="1"/>
  <c r="M31" i="1"/>
  <c r="M33" i="1"/>
  <c r="M35" i="1"/>
  <c r="M36" i="1"/>
  <c r="M38" i="1"/>
  <c r="M39" i="1"/>
  <c r="M11" i="1"/>
  <c r="C2" i="2" l="1"/>
</calcChain>
</file>

<file path=xl/sharedStrings.xml><?xml version="1.0" encoding="utf-8"?>
<sst xmlns="http://schemas.openxmlformats.org/spreadsheetml/2006/main" count="113" uniqueCount="49">
  <si>
    <t>Field Observation Date [dd.mm.yy]</t>
  </si>
  <si>
    <t>Field Reporter</t>
  </si>
  <si>
    <t>Digitalization Date [dd.mm.yyy]</t>
  </si>
  <si>
    <t>Digitalized by</t>
  </si>
  <si>
    <t>Planting Site Nr [yyyy.id]</t>
  </si>
  <si>
    <t>Azimut of line</t>
  </si>
  <si>
    <t xml:space="preserve">Other Observations </t>
  </si>
  <si>
    <t>Vine Snake, Jesus Lizzard, Butterflys</t>
  </si>
  <si>
    <t>Total 2020 PLOT: 40, GAB 48</t>
  </si>
  <si>
    <t>Picture numbers</t>
  </si>
  <si>
    <t>Tree nr.</t>
  </si>
  <si>
    <t>Tag Nr.</t>
  </si>
  <si>
    <t>line Nr.</t>
  </si>
  <si>
    <t>Species</t>
  </si>
  <si>
    <t>Vitality [can you give me the range?]</t>
  </si>
  <si>
    <t>Height</t>
  </si>
  <si>
    <t>DBH</t>
  </si>
  <si>
    <t>Quality [can you give me the range?]</t>
  </si>
  <si>
    <t>Fork [can you give me the range?]</t>
  </si>
  <si>
    <t>Liana signs</t>
  </si>
  <si>
    <t>Shootborer Old</t>
  </si>
  <si>
    <t>Shootborer New</t>
  </si>
  <si>
    <t>Comments</t>
  </si>
  <si>
    <t>H/D</t>
  </si>
  <si>
    <t>[0-Dead, 1-Good, 2-Fair, 3-Bad]</t>
  </si>
  <si>
    <t>[cm]</t>
  </si>
  <si>
    <t>[1-Good, 2-Fair, 3-Bad]</t>
  </si>
  <si>
    <t>[0-No, 1-Yes]</t>
  </si>
  <si>
    <t>[0-No, 1-Light, 2-Strong]</t>
  </si>
  <si>
    <t>Swietenia macrophylla (Cauba)</t>
  </si>
  <si>
    <t>Krümmung 40 cm</t>
  </si>
  <si>
    <t>NA</t>
  </si>
  <si>
    <t>chopped at stamp hight 14cm in 2019,</t>
  </si>
  <si>
    <t>gestorben. Siehe bemerkung 2019</t>
  </si>
  <si>
    <t>Grösse als 188 entziffert, (168?)</t>
  </si>
  <si>
    <t>MEAN</t>
  </si>
  <si>
    <t>Scientific name</t>
  </si>
  <si>
    <t>Popular name</t>
  </si>
  <si>
    <t>Lookup name</t>
  </si>
  <si>
    <t>Vitality</t>
  </si>
  <si>
    <t>Quality</t>
  </si>
  <si>
    <t>Fork</t>
  </si>
  <si>
    <t>Liana</t>
  </si>
  <si>
    <t>Shoot Old</t>
  </si>
  <si>
    <t>Shoot New</t>
  </si>
  <si>
    <t>Swietenia macrophylla</t>
  </si>
  <si>
    <t>Cauba</t>
  </si>
  <si>
    <t>Esther Segger</t>
  </si>
  <si>
    <t>Esther Segger, Matthias Osli, Oskar 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</si>
</sst>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3" fillId="0" borderId="6" xfId="0" applyNumberFormat="1" applyFont="1" applyBorder="1"/>
    <xf numFmtId="1" fontId="3" fillId="0" borderId="2" xfId="0" applyNumberFormat="1" applyFont="1" applyBorder="1"/>
    <xf numFmtId="0" fontId="1" fillId="4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3" fillId="0" borderId="11" xfId="0" applyFont="1" applyBorder="1" applyAlignment="1">
      <alignment horizontal="left"/>
    </xf>
    <xf numFmtId="0" fontId="3" fillId="0" borderId="7" xfId="0" applyFont="1" applyBorder="1"/>
    <xf numFmtId="0" fontId="3" fillId="0" borderId="12" xfId="0" applyFont="1" applyBorder="1"/>
    <xf numFmtId="1" fontId="3" fillId="0" borderId="12" xfId="0" applyNumberFormat="1" applyFont="1" applyBorder="1"/>
    <xf numFmtId="0" fontId="3" fillId="0" borderId="2" xfId="0" applyFont="1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6" borderId="16" xfId="0" applyFont="1" applyFill="1" applyBorder="1" applyAlignment="1">
      <alignment horizontal="center"/>
    </xf>
    <xf numFmtId="1" fontId="3" fillId="0" borderId="7" xfId="0" applyNumberFormat="1" applyFont="1" applyBorder="1"/>
    <xf numFmtId="1" fontId="4" fillId="6" borderId="13" xfId="0" applyNumberFormat="1" applyFont="1" applyFill="1" applyBorder="1"/>
    <xf numFmtId="0" fontId="4" fillId="6" borderId="15" xfId="0" applyFont="1" applyFill="1" applyBorder="1" applyAlignment="1">
      <alignment horizontal="center"/>
    </xf>
    <xf numFmtId="0" fontId="4" fillId="6" borderId="0" xfId="0" applyFont="1" applyFill="1"/>
    <xf numFmtId="164" fontId="3" fillId="0" borderId="6" xfId="0" applyNumberFormat="1" applyFont="1" applyBorder="1"/>
    <xf numFmtId="164" fontId="3" fillId="0" borderId="12" xfId="0" applyNumberFormat="1" applyFont="1" applyBorder="1"/>
    <xf numFmtId="164" fontId="3" fillId="0" borderId="2" xfId="0" applyNumberFormat="1" applyFont="1" applyBorder="1"/>
    <xf numFmtId="14" fontId="2" fillId="0" borderId="2" xfId="0" applyNumberFormat="1" applyFont="1" applyBorder="1"/>
    <xf numFmtId="14" fontId="2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left"/>
    </xf>
  </cellXfs>
  <cellStyles count="1">
    <cellStyle name="Normal" xfId="0" builtinId="0"/>
  </cellStyles>
  <dxfs count="5">
    <dxf>
      <fill>
        <patternFill patternType="lightUp">
          <fgColor rgb="FFFF0000"/>
        </patternFill>
      </fill>
    </dxf>
    <dxf>
      <fill>
        <patternFill patternType="lightUp">
          <fgColor rgb="FFFF0000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" totalsRowShown="0" headerRowDxfId="4" headerRowBorderDxfId="3" tableBorderDxfId="2">
  <autoFilter ref="A1:C2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A2 &amp; " (" &amp; B2 &amp; ")"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1:E5" totalsRowShown="0">
  <autoFilter ref="E1:E5" xr:uid="{00000000-0009-0000-0100-000002000000}"/>
  <tableColumns count="1">
    <tableColumn id="1" xr3:uid="{00000000-0010-0000-0100-000001000000}" name="Vita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1:F5" totalsRowShown="0">
  <autoFilter ref="F1:F5" xr:uid="{00000000-0009-0000-0100-000003000000}"/>
  <tableColumns count="1">
    <tableColumn id="1" xr3:uid="{00000000-0010-0000-0200-000001000000}" name="Qua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1:G4" totalsRowShown="0">
  <autoFilter ref="G1:G4" xr:uid="{00000000-0009-0000-0100-000004000000}"/>
  <tableColumns count="1">
    <tableColumn id="1" xr3:uid="{00000000-0010-0000-0300-000001000000}" name="For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H1:H5" totalsRowShown="0">
  <autoFilter ref="H1:H5" xr:uid="{00000000-0009-0000-0100-000005000000}"/>
  <tableColumns count="1">
    <tableColumn id="1" xr3:uid="{00000000-0010-0000-0400-000001000000}" name="Lia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I1:I4" totalsRowShown="0">
  <autoFilter ref="I1:I4" xr:uid="{00000000-0009-0000-0100-000006000000}"/>
  <tableColumns count="1">
    <tableColumn id="1" xr3:uid="{00000000-0010-0000-0500-000001000000}" name="Shoot Ol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J1:J4" totalsRowShown="0">
  <autoFilter ref="J1:J4" xr:uid="{00000000-0009-0000-0100-000007000000}"/>
  <tableColumns count="1">
    <tableColumn id="1" xr3:uid="{00000000-0010-0000-0600-000001000000}" name="Shoot 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zoomScale="85" zoomScaleNormal="85" workbookViewId="0">
      <selection activeCell="X4" sqref="X4"/>
    </sheetView>
  </sheetViews>
  <sheetFormatPr defaultColWidth="8.81640625" defaultRowHeight="14.5" x14ac:dyDescent="0.35"/>
  <cols>
    <col min="1" max="1" width="6.7265625" customWidth="1"/>
    <col min="2" max="2" width="12.7265625" customWidth="1"/>
    <col min="4" max="4" width="24.7265625" bestFit="1" customWidth="1"/>
    <col min="5" max="5" width="29.81640625" customWidth="1"/>
    <col min="6" max="6" width="10.1796875" customWidth="1"/>
    <col min="8" max="8" width="28.81640625" customWidth="1"/>
    <col min="9" max="9" width="31.81640625" customWidth="1"/>
    <col min="10" max="10" width="21.1796875" customWidth="1"/>
    <col min="11" max="11" width="25.26953125" customWidth="1"/>
    <col min="12" max="12" width="12.7265625" customWidth="1"/>
    <col min="13" max="13" width="28.26953125" customWidth="1"/>
  </cols>
  <sheetData>
    <row r="1" spans="1:14" ht="16.5" thickTop="1" thickBot="1" x14ac:dyDescent="0.4">
      <c r="A1" s="25"/>
      <c r="B1" s="25"/>
      <c r="C1" s="25"/>
      <c r="D1" s="25" t="s">
        <v>0</v>
      </c>
      <c r="E1" s="42">
        <v>43896</v>
      </c>
      <c r="F1" s="5"/>
      <c r="G1" s="1"/>
      <c r="H1" s="5"/>
      <c r="I1" s="1"/>
      <c r="J1" s="1"/>
      <c r="K1" s="1"/>
      <c r="L1" s="1"/>
      <c r="M1" s="1"/>
    </row>
    <row r="2" spans="1:14" ht="16.5" thickTop="1" thickBot="1" x14ac:dyDescent="0.4">
      <c r="A2" s="25"/>
      <c r="B2" s="25"/>
      <c r="C2" s="25"/>
      <c r="D2" s="25" t="s">
        <v>1</v>
      </c>
      <c r="E2" s="5" t="s">
        <v>48</v>
      </c>
      <c r="F2" s="5"/>
      <c r="G2" s="1"/>
      <c r="H2" s="5"/>
      <c r="I2" s="1"/>
      <c r="J2" s="1"/>
      <c r="K2" s="1"/>
      <c r="L2" s="1"/>
      <c r="M2" s="1"/>
    </row>
    <row r="3" spans="1:14" ht="16.5" thickTop="1" thickBot="1" x14ac:dyDescent="0.4">
      <c r="A3" s="26"/>
      <c r="B3" s="26"/>
      <c r="C3" s="26"/>
      <c r="D3" s="26" t="s">
        <v>2</v>
      </c>
      <c r="E3" s="43">
        <v>43891</v>
      </c>
      <c r="F3" s="5"/>
      <c r="G3" s="1"/>
      <c r="H3" s="5"/>
      <c r="I3" s="1"/>
      <c r="J3" s="1"/>
      <c r="K3" s="1"/>
      <c r="L3" s="1"/>
      <c r="M3" s="1"/>
    </row>
    <row r="4" spans="1:14" ht="16.5" thickTop="1" thickBot="1" x14ac:dyDescent="0.4">
      <c r="A4" s="26"/>
      <c r="B4" s="26"/>
      <c r="C4" s="26"/>
      <c r="D4" s="26" t="s">
        <v>3</v>
      </c>
      <c r="E4" s="5" t="s">
        <v>47</v>
      </c>
      <c r="F4" s="4"/>
      <c r="G4" s="1"/>
      <c r="H4" s="5"/>
      <c r="I4" s="1"/>
      <c r="J4" s="1"/>
      <c r="K4" s="1"/>
      <c r="L4" s="1"/>
      <c r="M4" s="1"/>
    </row>
    <row r="5" spans="1:14" ht="16.5" thickTop="1" thickBot="1" x14ac:dyDescent="0.4">
      <c r="A5" s="25"/>
      <c r="B5" s="25"/>
      <c r="C5" s="25"/>
      <c r="D5" s="25" t="s">
        <v>4</v>
      </c>
      <c r="E5" s="44">
        <v>2016.1</v>
      </c>
      <c r="F5" s="4"/>
      <c r="G5" s="6"/>
      <c r="H5" s="7"/>
      <c r="I5" s="4"/>
      <c r="J5" s="4"/>
      <c r="K5" s="8"/>
      <c r="L5" s="8"/>
      <c r="M5" s="8"/>
    </row>
    <row r="6" spans="1:14" ht="16.5" thickTop="1" thickBot="1" x14ac:dyDescent="0.4">
      <c r="A6" s="25"/>
      <c r="B6" s="25"/>
      <c r="C6" s="25"/>
      <c r="D6" s="25" t="s">
        <v>5</v>
      </c>
      <c r="E6" s="7"/>
      <c r="F6" s="4"/>
      <c r="G6" s="6"/>
      <c r="H6" s="7"/>
      <c r="I6" s="4"/>
      <c r="J6" s="4"/>
      <c r="K6" s="8"/>
      <c r="L6" s="8"/>
      <c r="M6" s="8"/>
    </row>
    <row r="7" spans="1:14" ht="16.5" thickTop="1" thickBot="1" x14ac:dyDescent="0.4">
      <c r="A7" s="25"/>
      <c r="B7" s="25"/>
      <c r="C7" s="25"/>
      <c r="D7" s="25" t="s">
        <v>6</v>
      </c>
      <c r="E7" s="7" t="s">
        <v>7</v>
      </c>
      <c r="F7" s="4"/>
      <c r="G7" s="6" t="s">
        <v>8</v>
      </c>
      <c r="H7" s="7"/>
      <c r="I7" s="4"/>
      <c r="J7" s="4"/>
      <c r="K7" s="8"/>
      <c r="L7" s="8"/>
      <c r="M7" s="8"/>
    </row>
    <row r="8" spans="1:14" ht="16.5" thickTop="1" thickBot="1" x14ac:dyDescent="0.4">
      <c r="A8" s="25"/>
      <c r="B8" s="25"/>
      <c r="C8" s="25"/>
      <c r="D8" s="25" t="s">
        <v>9</v>
      </c>
      <c r="E8" s="15">
        <v>16.100000000000001</v>
      </c>
      <c r="F8" s="13"/>
      <c r="G8" s="14"/>
      <c r="H8" s="15"/>
      <c r="I8" s="13"/>
      <c r="J8" s="13"/>
      <c r="K8" s="16"/>
      <c r="L8" s="16"/>
      <c r="M8" s="16"/>
    </row>
    <row r="9" spans="1:14" s="22" customFormat="1" ht="26.5" thickTop="1" x14ac:dyDescent="0.35">
      <c r="A9" s="21" t="s">
        <v>10</v>
      </c>
      <c r="B9" s="21" t="s">
        <v>11</v>
      </c>
      <c r="C9" s="19" t="s">
        <v>12</v>
      </c>
      <c r="D9" s="19" t="s">
        <v>13</v>
      </c>
      <c r="E9" s="19" t="s">
        <v>14</v>
      </c>
      <c r="F9" s="19" t="s">
        <v>15</v>
      </c>
      <c r="G9" s="19" t="s">
        <v>16</v>
      </c>
      <c r="H9" s="21" t="s">
        <v>17</v>
      </c>
      <c r="I9" s="21" t="s">
        <v>18</v>
      </c>
      <c r="J9" s="21" t="s">
        <v>19</v>
      </c>
      <c r="K9" s="19" t="s">
        <v>20</v>
      </c>
      <c r="L9" s="19" t="s">
        <v>21</v>
      </c>
      <c r="M9" s="32" t="s">
        <v>22</v>
      </c>
      <c r="N9" s="37" t="s">
        <v>23</v>
      </c>
    </row>
    <row r="10" spans="1:14" s="22" customFormat="1" ht="15" thickBot="1" x14ac:dyDescent="0.4">
      <c r="A10" s="20"/>
      <c r="B10" s="20"/>
      <c r="C10" s="18"/>
      <c r="D10" s="18"/>
      <c r="E10" s="18" t="s">
        <v>24</v>
      </c>
      <c r="F10" s="18" t="s">
        <v>25</v>
      </c>
      <c r="G10" s="18" t="s">
        <v>25</v>
      </c>
      <c r="H10" s="20" t="s">
        <v>26</v>
      </c>
      <c r="I10" s="20" t="s">
        <v>27</v>
      </c>
      <c r="J10" s="20" t="s">
        <v>28</v>
      </c>
      <c r="K10" s="20" t="s">
        <v>27</v>
      </c>
      <c r="L10" s="18" t="s">
        <v>27</v>
      </c>
      <c r="M10" s="33"/>
      <c r="N10" s="34"/>
    </row>
    <row r="11" spans="1:14" ht="15" thickTop="1" x14ac:dyDescent="0.35">
      <c r="A11" s="10">
        <v>1</v>
      </c>
      <c r="B11" s="11">
        <v>457</v>
      </c>
      <c r="C11" s="12">
        <v>1</v>
      </c>
      <c r="D11" s="12" t="s">
        <v>29</v>
      </c>
      <c r="E11" s="12">
        <v>1</v>
      </c>
      <c r="F11" s="23">
        <v>231</v>
      </c>
      <c r="G11" s="39">
        <v>1.8</v>
      </c>
      <c r="H11" s="12">
        <v>1</v>
      </c>
      <c r="I11" s="12">
        <v>0</v>
      </c>
      <c r="J11" s="12">
        <v>0</v>
      </c>
      <c r="K11" s="12">
        <v>0</v>
      </c>
      <c r="L11" s="12">
        <v>1</v>
      </c>
      <c r="M11" s="3" t="str">
        <f t="shared" ref="M11:M39" si="0">IF(AND(NOT(ISBLANK($E11)),$E11=0),0,"")</f>
        <v/>
      </c>
      <c r="N11" s="29">
        <f>IF(OR(F11="NA",G11="NA"),"NA",IF(OR(LEN(F11)=0,LEN(G11)=0),"",F11/G11))</f>
        <v>128.33333333333334</v>
      </c>
    </row>
    <row r="12" spans="1:14" x14ac:dyDescent="0.35">
      <c r="A12" s="9">
        <v>2</v>
      </c>
      <c r="B12" s="45">
        <v>4572</v>
      </c>
      <c r="C12" s="3">
        <v>1</v>
      </c>
      <c r="D12" s="12" t="s">
        <v>29</v>
      </c>
      <c r="E12" s="3">
        <v>1</v>
      </c>
      <c r="F12" s="23">
        <v>222</v>
      </c>
      <c r="G12" s="39">
        <v>1.8</v>
      </c>
      <c r="H12" s="12">
        <v>1</v>
      </c>
      <c r="I12" s="12">
        <v>1</v>
      </c>
      <c r="J12" s="12">
        <v>0</v>
      </c>
      <c r="K12" s="12">
        <v>0</v>
      </c>
      <c r="L12" s="12">
        <v>0</v>
      </c>
      <c r="M12" s="3"/>
      <c r="N12" s="29">
        <f t="shared" ref="N12:N53" si="1">IF(OR(F12="NA",G12="NA"),"NA",IF(OR(LEN(F12)=0,LEN(G12)=0),"",F12/G12))</f>
        <v>123.33333333333333</v>
      </c>
    </row>
    <row r="13" spans="1:14" x14ac:dyDescent="0.35">
      <c r="A13" s="9">
        <v>3</v>
      </c>
      <c r="B13" s="2">
        <v>458</v>
      </c>
      <c r="C13" s="3">
        <v>1</v>
      </c>
      <c r="D13" s="12" t="s">
        <v>29</v>
      </c>
      <c r="E13" s="3">
        <v>1</v>
      </c>
      <c r="F13" s="23">
        <v>200</v>
      </c>
      <c r="G13" s="39">
        <v>1.8</v>
      </c>
      <c r="H13" s="12">
        <v>1</v>
      </c>
      <c r="I13" s="12">
        <v>0</v>
      </c>
      <c r="J13" s="12">
        <v>0</v>
      </c>
      <c r="K13" s="12">
        <v>0</v>
      </c>
      <c r="L13" s="12">
        <v>0</v>
      </c>
      <c r="M13" s="3"/>
      <c r="N13" s="29">
        <f t="shared" si="1"/>
        <v>111.11111111111111</v>
      </c>
    </row>
    <row r="14" spans="1:14" x14ac:dyDescent="0.35">
      <c r="A14" s="9">
        <v>4</v>
      </c>
      <c r="B14" s="2">
        <v>459</v>
      </c>
      <c r="C14" s="3">
        <v>1</v>
      </c>
      <c r="D14" s="12" t="s">
        <v>29</v>
      </c>
      <c r="E14" s="12">
        <v>1</v>
      </c>
      <c r="F14" s="23">
        <v>164</v>
      </c>
      <c r="G14" s="39">
        <v>1.5</v>
      </c>
      <c r="H14" s="12">
        <v>2</v>
      </c>
      <c r="I14" s="12">
        <v>0</v>
      </c>
      <c r="J14" s="12">
        <v>0</v>
      </c>
      <c r="K14" s="12">
        <v>0</v>
      </c>
      <c r="L14" s="12">
        <v>0</v>
      </c>
      <c r="M14" s="3"/>
      <c r="N14" s="29">
        <f t="shared" si="1"/>
        <v>109.33333333333333</v>
      </c>
    </row>
    <row r="15" spans="1:14" x14ac:dyDescent="0.35">
      <c r="A15" s="9">
        <v>5</v>
      </c>
      <c r="B15" s="2">
        <v>460</v>
      </c>
      <c r="C15" s="3">
        <v>1</v>
      </c>
      <c r="D15" s="12" t="s">
        <v>29</v>
      </c>
      <c r="E15" s="3">
        <v>1</v>
      </c>
      <c r="F15" s="23">
        <v>233</v>
      </c>
      <c r="G15" s="39">
        <v>1.7</v>
      </c>
      <c r="H15" s="12">
        <v>2</v>
      </c>
      <c r="I15" s="12">
        <v>0</v>
      </c>
      <c r="J15" s="12">
        <v>0</v>
      </c>
      <c r="K15" s="12">
        <v>0</v>
      </c>
      <c r="L15" s="12">
        <v>0</v>
      </c>
      <c r="M15" s="3"/>
      <c r="N15" s="29">
        <f t="shared" si="1"/>
        <v>137.05882352941177</v>
      </c>
    </row>
    <row r="16" spans="1:14" x14ac:dyDescent="0.35">
      <c r="A16" s="9">
        <v>6</v>
      </c>
      <c r="B16" s="2">
        <v>461</v>
      </c>
      <c r="C16" s="3">
        <v>1</v>
      </c>
      <c r="D16" s="12" t="s">
        <v>29</v>
      </c>
      <c r="E16" s="3">
        <v>1</v>
      </c>
      <c r="F16" s="23">
        <v>74</v>
      </c>
      <c r="G16" s="39"/>
      <c r="H16" s="12">
        <v>1</v>
      </c>
      <c r="I16" s="12">
        <v>0</v>
      </c>
      <c r="J16" s="12">
        <v>0</v>
      </c>
      <c r="K16" s="12">
        <v>0</v>
      </c>
      <c r="L16" s="12">
        <v>0</v>
      </c>
      <c r="M16" s="3"/>
      <c r="N16" s="29" t="str">
        <f t="shared" si="1"/>
        <v/>
      </c>
    </row>
    <row r="17" spans="1:14" x14ac:dyDescent="0.35">
      <c r="A17" s="9">
        <v>7</v>
      </c>
      <c r="B17" s="2">
        <v>463</v>
      </c>
      <c r="C17" s="3">
        <v>1</v>
      </c>
      <c r="D17" s="12" t="s">
        <v>29</v>
      </c>
      <c r="E17" s="12">
        <v>1</v>
      </c>
      <c r="F17" s="23">
        <v>220</v>
      </c>
      <c r="G17" s="39">
        <v>1.9</v>
      </c>
      <c r="H17" s="12">
        <v>1</v>
      </c>
      <c r="I17" s="12">
        <v>1</v>
      </c>
      <c r="J17" s="12">
        <v>0</v>
      </c>
      <c r="K17" s="12">
        <v>0</v>
      </c>
      <c r="L17" s="12">
        <v>1</v>
      </c>
      <c r="M17" s="3" t="str">
        <f>IF(AND(NOT(ISBLANK($E17)),$E17=0),0,"")</f>
        <v/>
      </c>
      <c r="N17" s="29">
        <f t="shared" si="1"/>
        <v>115.78947368421053</v>
      </c>
    </row>
    <row r="18" spans="1:14" x14ac:dyDescent="0.35">
      <c r="A18" s="9">
        <v>8</v>
      </c>
      <c r="B18" s="2">
        <v>465</v>
      </c>
      <c r="C18" s="3">
        <v>2</v>
      </c>
      <c r="D18" s="12" t="s">
        <v>29</v>
      </c>
      <c r="E18" s="3">
        <v>1</v>
      </c>
      <c r="F18" s="23">
        <v>228</v>
      </c>
      <c r="G18" s="39">
        <v>1.8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3" t="str">
        <f t="shared" si="0"/>
        <v/>
      </c>
      <c r="N18" s="29">
        <f t="shared" si="1"/>
        <v>126.66666666666666</v>
      </c>
    </row>
    <row r="19" spans="1:14" x14ac:dyDescent="0.35">
      <c r="A19" s="9">
        <v>9</v>
      </c>
      <c r="B19" s="2">
        <v>467</v>
      </c>
      <c r="C19" s="3">
        <v>2</v>
      </c>
      <c r="D19" s="12" t="s">
        <v>29</v>
      </c>
      <c r="E19" s="3">
        <v>1</v>
      </c>
      <c r="F19" s="23">
        <v>239</v>
      </c>
      <c r="G19" s="39">
        <v>2</v>
      </c>
      <c r="H19" s="12">
        <v>2</v>
      </c>
      <c r="I19" s="12">
        <v>0</v>
      </c>
      <c r="J19" s="12">
        <v>0</v>
      </c>
      <c r="K19" s="12">
        <v>0</v>
      </c>
      <c r="L19" s="12">
        <v>0</v>
      </c>
      <c r="M19" s="3" t="str">
        <f t="shared" si="0"/>
        <v/>
      </c>
      <c r="N19" s="29">
        <f t="shared" si="1"/>
        <v>119.5</v>
      </c>
    </row>
    <row r="20" spans="1:14" x14ac:dyDescent="0.35">
      <c r="A20" s="9">
        <v>10</v>
      </c>
      <c r="B20" s="2">
        <v>468</v>
      </c>
      <c r="C20" s="3">
        <v>2</v>
      </c>
      <c r="D20" s="12" t="s">
        <v>29</v>
      </c>
      <c r="E20" s="12">
        <v>1</v>
      </c>
      <c r="F20" s="23">
        <v>128</v>
      </c>
      <c r="G20" s="39"/>
      <c r="H20" s="12">
        <v>1</v>
      </c>
      <c r="I20" s="12">
        <v>0</v>
      </c>
      <c r="J20" s="12">
        <v>0</v>
      </c>
      <c r="K20" s="12">
        <v>0</v>
      </c>
      <c r="L20" s="12">
        <v>0</v>
      </c>
      <c r="M20" s="3" t="str">
        <f t="shared" si="0"/>
        <v/>
      </c>
      <c r="N20" s="29" t="str">
        <f t="shared" si="1"/>
        <v/>
      </c>
    </row>
    <row r="21" spans="1:14" x14ac:dyDescent="0.35">
      <c r="A21" s="9">
        <v>11</v>
      </c>
      <c r="B21" s="2">
        <v>469</v>
      </c>
      <c r="C21" s="3">
        <v>2</v>
      </c>
      <c r="D21" s="12" t="s">
        <v>29</v>
      </c>
      <c r="E21" s="3">
        <v>1</v>
      </c>
      <c r="F21" s="23">
        <v>183</v>
      </c>
      <c r="G21" s="39">
        <v>1.5</v>
      </c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3" t="str">
        <f t="shared" si="0"/>
        <v/>
      </c>
      <c r="N21" s="29">
        <f t="shared" si="1"/>
        <v>122</v>
      </c>
    </row>
    <row r="22" spans="1:14" x14ac:dyDescent="0.35">
      <c r="A22" s="9">
        <v>12</v>
      </c>
      <c r="B22" s="2">
        <v>470</v>
      </c>
      <c r="C22" s="3">
        <v>2</v>
      </c>
      <c r="D22" s="12" t="s">
        <v>29</v>
      </c>
      <c r="E22" s="3">
        <v>1</v>
      </c>
      <c r="F22" s="23">
        <v>249</v>
      </c>
      <c r="G22" s="39">
        <v>2.1</v>
      </c>
      <c r="H22" s="12">
        <v>1</v>
      </c>
      <c r="I22" s="12">
        <v>0</v>
      </c>
      <c r="J22" s="12">
        <v>0</v>
      </c>
      <c r="K22" s="12">
        <v>0</v>
      </c>
      <c r="L22" s="12">
        <v>0</v>
      </c>
      <c r="M22" s="3" t="str">
        <f t="shared" si="0"/>
        <v/>
      </c>
      <c r="N22" s="29">
        <f t="shared" si="1"/>
        <v>118.57142857142857</v>
      </c>
    </row>
    <row r="23" spans="1:14" x14ac:dyDescent="0.35">
      <c r="A23" s="9">
        <v>13</v>
      </c>
      <c r="B23" s="2">
        <v>471</v>
      </c>
      <c r="C23" s="3">
        <v>2</v>
      </c>
      <c r="D23" s="12" t="s">
        <v>29</v>
      </c>
      <c r="E23" s="12">
        <v>1</v>
      </c>
      <c r="F23" s="23">
        <v>259</v>
      </c>
      <c r="G23" s="39">
        <v>2.2000000000000002</v>
      </c>
      <c r="H23" s="12">
        <v>1</v>
      </c>
      <c r="I23" s="12">
        <v>0</v>
      </c>
      <c r="J23" s="12">
        <v>0</v>
      </c>
      <c r="K23" s="12">
        <v>0</v>
      </c>
      <c r="L23" s="12">
        <v>1</v>
      </c>
      <c r="M23" s="3" t="str">
        <f t="shared" si="0"/>
        <v/>
      </c>
      <c r="N23" s="29">
        <f t="shared" si="1"/>
        <v>117.72727272727272</v>
      </c>
    </row>
    <row r="24" spans="1:14" x14ac:dyDescent="0.35">
      <c r="A24" s="9">
        <v>14</v>
      </c>
      <c r="B24" s="2">
        <v>472</v>
      </c>
      <c r="C24" s="3">
        <v>3</v>
      </c>
      <c r="D24" s="12" t="s">
        <v>29</v>
      </c>
      <c r="E24" s="3">
        <v>1</v>
      </c>
      <c r="F24" s="23">
        <v>196</v>
      </c>
      <c r="G24" s="39">
        <v>1.8</v>
      </c>
      <c r="H24" s="12">
        <v>1</v>
      </c>
      <c r="I24" s="12">
        <v>1</v>
      </c>
      <c r="J24" s="12">
        <v>0</v>
      </c>
      <c r="K24" s="12">
        <v>0</v>
      </c>
      <c r="L24" s="12">
        <v>0</v>
      </c>
      <c r="M24" s="3" t="str">
        <f t="shared" si="0"/>
        <v/>
      </c>
      <c r="N24" s="29">
        <f t="shared" si="1"/>
        <v>108.88888888888889</v>
      </c>
    </row>
    <row r="25" spans="1:14" x14ac:dyDescent="0.35">
      <c r="A25" s="9">
        <v>15</v>
      </c>
      <c r="B25" s="2">
        <v>473</v>
      </c>
      <c r="C25" s="3">
        <v>3</v>
      </c>
      <c r="D25" s="12" t="s">
        <v>29</v>
      </c>
      <c r="E25" s="3">
        <v>1</v>
      </c>
      <c r="F25" s="23">
        <v>202</v>
      </c>
      <c r="G25" s="39">
        <v>1.8</v>
      </c>
      <c r="H25" s="12">
        <v>1</v>
      </c>
      <c r="I25" s="12">
        <v>1</v>
      </c>
      <c r="J25" s="12">
        <v>0</v>
      </c>
      <c r="K25" s="12">
        <v>0</v>
      </c>
      <c r="L25" s="12">
        <v>0</v>
      </c>
      <c r="M25" s="3" t="str">
        <f t="shared" si="0"/>
        <v/>
      </c>
      <c r="N25" s="29">
        <f t="shared" si="1"/>
        <v>112.22222222222221</v>
      </c>
    </row>
    <row r="26" spans="1:14" x14ac:dyDescent="0.35">
      <c r="A26" s="9">
        <v>16</v>
      </c>
      <c r="B26" s="2">
        <v>474</v>
      </c>
      <c r="C26" s="3">
        <v>3</v>
      </c>
      <c r="D26" s="12" t="s">
        <v>29</v>
      </c>
      <c r="E26" s="12">
        <v>1</v>
      </c>
      <c r="F26" s="23">
        <v>276</v>
      </c>
      <c r="G26" s="39">
        <v>2</v>
      </c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3" t="str">
        <f t="shared" si="0"/>
        <v/>
      </c>
      <c r="N26" s="29">
        <f t="shared" si="1"/>
        <v>138</v>
      </c>
    </row>
    <row r="27" spans="1:14" x14ac:dyDescent="0.35">
      <c r="A27" s="9">
        <v>17</v>
      </c>
      <c r="B27" s="2">
        <v>475</v>
      </c>
      <c r="C27" s="3">
        <v>3</v>
      </c>
      <c r="D27" s="12" t="s">
        <v>29</v>
      </c>
      <c r="E27" s="3">
        <v>1</v>
      </c>
      <c r="F27" s="23">
        <v>279</v>
      </c>
      <c r="G27" s="39">
        <v>2.1</v>
      </c>
      <c r="H27" s="12">
        <v>1</v>
      </c>
      <c r="I27" s="12">
        <v>1</v>
      </c>
      <c r="J27" s="12">
        <v>0</v>
      </c>
      <c r="K27" s="12">
        <v>0</v>
      </c>
      <c r="L27" s="12">
        <v>0</v>
      </c>
      <c r="M27" s="3" t="str">
        <f t="shared" si="0"/>
        <v/>
      </c>
      <c r="N27" s="29">
        <f t="shared" si="1"/>
        <v>132.85714285714286</v>
      </c>
    </row>
    <row r="28" spans="1:14" x14ac:dyDescent="0.35">
      <c r="A28" s="9">
        <v>18</v>
      </c>
      <c r="B28" s="2">
        <v>476</v>
      </c>
      <c r="C28" s="3">
        <v>3</v>
      </c>
      <c r="D28" s="12" t="s">
        <v>29</v>
      </c>
      <c r="E28" s="3">
        <v>1</v>
      </c>
      <c r="F28" s="23">
        <v>325</v>
      </c>
      <c r="G28" s="39">
        <v>2.8</v>
      </c>
      <c r="H28" s="12">
        <v>1</v>
      </c>
      <c r="I28" s="12">
        <v>0</v>
      </c>
      <c r="J28" s="12">
        <v>0</v>
      </c>
      <c r="K28" s="12">
        <v>0</v>
      </c>
      <c r="L28" s="12">
        <v>0</v>
      </c>
      <c r="M28" s="3" t="str">
        <f t="shared" si="0"/>
        <v/>
      </c>
      <c r="N28" s="29">
        <f t="shared" si="1"/>
        <v>116.07142857142858</v>
      </c>
    </row>
    <row r="29" spans="1:14" x14ac:dyDescent="0.35">
      <c r="A29" s="9">
        <v>19</v>
      </c>
      <c r="B29" s="2">
        <v>477</v>
      </c>
      <c r="C29" s="3">
        <v>3</v>
      </c>
      <c r="D29" s="12" t="s">
        <v>29</v>
      </c>
      <c r="E29" s="12">
        <v>1</v>
      </c>
      <c r="F29" s="23">
        <v>262</v>
      </c>
      <c r="G29" s="39">
        <v>2.2000000000000002</v>
      </c>
      <c r="H29" s="12">
        <v>1</v>
      </c>
      <c r="I29" s="12">
        <v>0</v>
      </c>
      <c r="J29" s="12">
        <v>0</v>
      </c>
      <c r="K29" s="12">
        <v>0</v>
      </c>
      <c r="L29" s="12">
        <v>0</v>
      </c>
      <c r="M29" s="3"/>
      <c r="N29" s="29">
        <f t="shared" si="1"/>
        <v>119.09090909090908</v>
      </c>
    </row>
    <row r="30" spans="1:14" x14ac:dyDescent="0.35">
      <c r="A30" s="9">
        <v>20</v>
      </c>
      <c r="B30" s="2">
        <v>478</v>
      </c>
      <c r="C30" s="3">
        <v>3</v>
      </c>
      <c r="D30" s="12" t="s">
        <v>29</v>
      </c>
      <c r="E30" s="3">
        <v>1</v>
      </c>
      <c r="F30" s="23">
        <v>354</v>
      </c>
      <c r="G30" s="39">
        <v>3</v>
      </c>
      <c r="H30" s="12">
        <v>1</v>
      </c>
      <c r="I30" s="12">
        <v>1</v>
      </c>
      <c r="J30" s="12">
        <v>0</v>
      </c>
      <c r="K30" s="12">
        <v>0</v>
      </c>
      <c r="L30" s="12">
        <v>0</v>
      </c>
      <c r="M30" s="3" t="str">
        <f t="shared" si="0"/>
        <v/>
      </c>
      <c r="N30" s="29">
        <f t="shared" si="1"/>
        <v>118</v>
      </c>
    </row>
    <row r="31" spans="1:14" x14ac:dyDescent="0.35">
      <c r="A31" s="9">
        <v>21</v>
      </c>
      <c r="B31" s="2">
        <v>479</v>
      </c>
      <c r="C31" s="3">
        <v>3</v>
      </c>
      <c r="D31" s="12" t="s">
        <v>29</v>
      </c>
      <c r="E31" s="3">
        <v>1</v>
      </c>
      <c r="F31" s="23">
        <v>274</v>
      </c>
      <c r="G31" s="39">
        <v>2.2999999999999998</v>
      </c>
      <c r="H31" s="12">
        <v>1</v>
      </c>
      <c r="I31" s="12">
        <v>0</v>
      </c>
      <c r="J31" s="12">
        <v>0</v>
      </c>
      <c r="K31" s="12">
        <v>0</v>
      </c>
      <c r="L31" s="12">
        <v>0</v>
      </c>
      <c r="M31" s="3" t="str">
        <f t="shared" si="0"/>
        <v/>
      </c>
      <c r="N31" s="29">
        <f t="shared" si="1"/>
        <v>119.1304347826087</v>
      </c>
    </row>
    <row r="32" spans="1:14" x14ac:dyDescent="0.35">
      <c r="A32" s="9">
        <v>22</v>
      </c>
      <c r="B32" s="2">
        <v>481</v>
      </c>
      <c r="C32" s="3">
        <v>4</v>
      </c>
      <c r="D32" s="12" t="s">
        <v>29</v>
      </c>
      <c r="E32" s="12">
        <v>1</v>
      </c>
      <c r="F32" s="23">
        <v>188</v>
      </c>
      <c r="G32" s="39">
        <v>1.4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3" t="s">
        <v>30</v>
      </c>
      <c r="N32" s="29">
        <f t="shared" si="1"/>
        <v>134.28571428571431</v>
      </c>
    </row>
    <row r="33" spans="1:14" x14ac:dyDescent="0.35">
      <c r="A33" s="9">
        <v>23</v>
      </c>
      <c r="B33" s="2">
        <v>483</v>
      </c>
      <c r="C33" s="3">
        <v>4</v>
      </c>
      <c r="D33" s="12" t="s">
        <v>29</v>
      </c>
      <c r="E33" s="3">
        <v>1</v>
      </c>
      <c r="F33" s="23">
        <v>151</v>
      </c>
      <c r="G33" s="39">
        <v>1.2</v>
      </c>
      <c r="H33" s="12">
        <v>1</v>
      </c>
      <c r="I33" s="12">
        <v>0</v>
      </c>
      <c r="J33" s="12">
        <v>0</v>
      </c>
      <c r="K33" s="12">
        <v>0</v>
      </c>
      <c r="L33" s="12">
        <v>0</v>
      </c>
      <c r="M33" s="3" t="str">
        <f t="shared" si="0"/>
        <v/>
      </c>
      <c r="N33" s="29">
        <f t="shared" si="1"/>
        <v>125.83333333333334</v>
      </c>
    </row>
    <row r="34" spans="1:14" x14ac:dyDescent="0.35">
      <c r="A34" s="9">
        <v>24</v>
      </c>
      <c r="B34" s="2">
        <v>484</v>
      </c>
      <c r="C34" s="3">
        <v>4</v>
      </c>
      <c r="D34" s="12" t="s">
        <v>29</v>
      </c>
      <c r="E34" s="3">
        <v>1</v>
      </c>
      <c r="F34" s="23">
        <v>266</v>
      </c>
      <c r="G34" s="39">
        <v>2.1</v>
      </c>
      <c r="H34" s="12">
        <v>1</v>
      </c>
      <c r="I34" s="12">
        <v>1</v>
      </c>
      <c r="J34" s="12">
        <v>0</v>
      </c>
      <c r="K34" s="12">
        <v>0</v>
      </c>
      <c r="L34" s="12">
        <v>0</v>
      </c>
      <c r="M34" s="3"/>
      <c r="N34" s="29">
        <f t="shared" si="1"/>
        <v>126.66666666666666</v>
      </c>
    </row>
    <row r="35" spans="1:14" x14ac:dyDescent="0.35">
      <c r="A35" s="9">
        <v>25</v>
      </c>
      <c r="B35" s="2">
        <v>485</v>
      </c>
      <c r="C35" s="3">
        <v>4</v>
      </c>
      <c r="D35" s="12" t="s">
        <v>29</v>
      </c>
      <c r="E35" s="3">
        <v>1</v>
      </c>
      <c r="F35" s="23">
        <v>118</v>
      </c>
      <c r="G35" s="39"/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3" t="str">
        <f t="shared" si="0"/>
        <v/>
      </c>
      <c r="N35" s="29" t="str">
        <f t="shared" si="1"/>
        <v/>
      </c>
    </row>
    <row r="36" spans="1:14" x14ac:dyDescent="0.35">
      <c r="A36" s="9">
        <v>26</v>
      </c>
      <c r="B36" s="2">
        <v>486</v>
      </c>
      <c r="C36" s="3">
        <v>4</v>
      </c>
      <c r="D36" s="12" t="s">
        <v>29</v>
      </c>
      <c r="E36" s="3">
        <v>1</v>
      </c>
      <c r="F36" s="23">
        <v>332</v>
      </c>
      <c r="G36" s="39">
        <v>2.9</v>
      </c>
      <c r="H36" s="12">
        <v>1</v>
      </c>
      <c r="I36" s="12">
        <v>0</v>
      </c>
      <c r="J36" s="12">
        <v>0</v>
      </c>
      <c r="K36" s="12">
        <v>0</v>
      </c>
      <c r="L36" s="12">
        <v>0</v>
      </c>
      <c r="M36" s="3" t="str">
        <f t="shared" si="0"/>
        <v/>
      </c>
      <c r="N36" s="29">
        <f t="shared" si="1"/>
        <v>114.48275862068967</v>
      </c>
    </row>
    <row r="37" spans="1:14" x14ac:dyDescent="0.35">
      <c r="A37" s="9">
        <v>27</v>
      </c>
      <c r="B37" s="2">
        <v>487</v>
      </c>
      <c r="C37" s="3">
        <v>4</v>
      </c>
      <c r="D37" s="12" t="s">
        <v>29</v>
      </c>
      <c r="E37" s="3">
        <v>1</v>
      </c>
      <c r="F37" s="23">
        <v>217</v>
      </c>
      <c r="G37" s="39">
        <v>1.5</v>
      </c>
      <c r="H37" s="12">
        <v>1</v>
      </c>
      <c r="I37" s="12">
        <v>0</v>
      </c>
      <c r="J37" s="12">
        <v>0</v>
      </c>
      <c r="K37" s="12">
        <v>0</v>
      </c>
      <c r="L37" s="12">
        <v>0</v>
      </c>
      <c r="M37" s="3"/>
      <c r="N37" s="29">
        <f t="shared" si="1"/>
        <v>144.66666666666666</v>
      </c>
    </row>
    <row r="38" spans="1:14" x14ac:dyDescent="0.35">
      <c r="A38" s="9">
        <v>28</v>
      </c>
      <c r="B38" s="27">
        <v>488</v>
      </c>
      <c r="C38" s="28">
        <v>4</v>
      </c>
      <c r="D38" s="29" t="s">
        <v>29</v>
      </c>
      <c r="E38" s="28">
        <v>1</v>
      </c>
      <c r="F38" s="30">
        <v>235</v>
      </c>
      <c r="G38" s="40">
        <v>2</v>
      </c>
      <c r="H38" s="29">
        <v>1</v>
      </c>
      <c r="I38" s="29">
        <v>1</v>
      </c>
      <c r="J38" s="12">
        <v>0</v>
      </c>
      <c r="K38" s="12">
        <v>0</v>
      </c>
      <c r="L38" s="12">
        <v>0</v>
      </c>
      <c r="M38" s="3" t="str">
        <f t="shared" si="0"/>
        <v/>
      </c>
      <c r="N38" s="29">
        <f t="shared" si="1"/>
        <v>117.5</v>
      </c>
    </row>
    <row r="39" spans="1:14" x14ac:dyDescent="0.35">
      <c r="A39" s="9">
        <v>29</v>
      </c>
      <c r="B39" s="31">
        <v>489</v>
      </c>
      <c r="C39" s="3">
        <v>5</v>
      </c>
      <c r="D39" s="3" t="s">
        <v>29</v>
      </c>
      <c r="E39" s="3">
        <v>1</v>
      </c>
      <c r="F39" s="24">
        <v>228</v>
      </c>
      <c r="G39" s="41">
        <v>1.3</v>
      </c>
      <c r="H39" s="3">
        <v>1</v>
      </c>
      <c r="I39" s="3">
        <v>0</v>
      </c>
      <c r="J39" s="12">
        <v>0</v>
      </c>
      <c r="K39" s="12">
        <v>0</v>
      </c>
      <c r="L39" s="12">
        <v>0</v>
      </c>
      <c r="M39" s="3" t="str">
        <f t="shared" si="0"/>
        <v/>
      </c>
      <c r="N39" s="29">
        <f t="shared" si="1"/>
        <v>175.38461538461539</v>
      </c>
    </row>
    <row r="40" spans="1:14" x14ac:dyDescent="0.35">
      <c r="A40" s="9">
        <v>30</v>
      </c>
      <c r="B40" s="31">
        <v>490</v>
      </c>
      <c r="C40" s="3">
        <v>5</v>
      </c>
      <c r="D40" s="3" t="s">
        <v>29</v>
      </c>
      <c r="E40" s="3">
        <v>0</v>
      </c>
      <c r="F40" s="24"/>
      <c r="G40" s="41"/>
      <c r="H40" s="3" t="s">
        <v>31</v>
      </c>
      <c r="I40" s="3" t="s">
        <v>31</v>
      </c>
      <c r="J40" s="12" t="s">
        <v>31</v>
      </c>
      <c r="K40" s="12" t="s">
        <v>31</v>
      </c>
      <c r="L40" s="12" t="s">
        <v>31</v>
      </c>
      <c r="M40" s="3" t="s">
        <v>32</v>
      </c>
      <c r="N40" s="29" t="str">
        <f t="shared" si="1"/>
        <v/>
      </c>
    </row>
    <row r="41" spans="1:14" x14ac:dyDescent="0.35">
      <c r="A41" s="9">
        <v>31</v>
      </c>
      <c r="B41" s="31">
        <v>491</v>
      </c>
      <c r="C41" s="3">
        <v>5</v>
      </c>
      <c r="D41" s="3" t="s">
        <v>29</v>
      </c>
      <c r="E41" s="3">
        <v>1</v>
      </c>
      <c r="F41" s="24">
        <v>184</v>
      </c>
      <c r="G41" s="41">
        <v>1</v>
      </c>
      <c r="H41" s="3">
        <v>1</v>
      </c>
      <c r="I41" s="3">
        <v>0</v>
      </c>
      <c r="J41" s="12">
        <v>0</v>
      </c>
      <c r="K41" s="3">
        <v>0</v>
      </c>
      <c r="L41" s="12">
        <v>0</v>
      </c>
      <c r="M41" s="3"/>
      <c r="N41" s="29">
        <f t="shared" si="1"/>
        <v>184</v>
      </c>
    </row>
    <row r="42" spans="1:14" x14ac:dyDescent="0.35">
      <c r="A42" s="9">
        <v>32</v>
      </c>
      <c r="B42" s="31">
        <v>492</v>
      </c>
      <c r="C42" s="3">
        <v>5</v>
      </c>
      <c r="D42" s="3" t="s">
        <v>29</v>
      </c>
      <c r="E42" s="3">
        <v>1</v>
      </c>
      <c r="F42" s="24">
        <v>165</v>
      </c>
      <c r="G42" s="41">
        <v>1.1000000000000001</v>
      </c>
      <c r="H42" s="3">
        <v>1</v>
      </c>
      <c r="I42" s="3">
        <v>1</v>
      </c>
      <c r="J42" s="12">
        <v>0</v>
      </c>
      <c r="K42" s="3">
        <v>1</v>
      </c>
      <c r="L42" s="3">
        <v>1</v>
      </c>
      <c r="M42" s="3"/>
      <c r="N42" s="29">
        <f t="shared" si="1"/>
        <v>150</v>
      </c>
    </row>
    <row r="43" spans="1:14" x14ac:dyDescent="0.35">
      <c r="A43" s="9">
        <v>33</v>
      </c>
      <c r="B43" s="31">
        <v>493</v>
      </c>
      <c r="C43" s="3">
        <v>5</v>
      </c>
      <c r="D43" s="3" t="s">
        <v>29</v>
      </c>
      <c r="E43" s="3">
        <v>1</v>
      </c>
      <c r="F43" s="24">
        <v>284</v>
      </c>
      <c r="G43" s="41">
        <v>2.4</v>
      </c>
      <c r="H43" s="3">
        <v>1</v>
      </c>
      <c r="I43" s="3">
        <v>0</v>
      </c>
      <c r="J43" s="12">
        <v>0</v>
      </c>
      <c r="K43" s="3">
        <v>1</v>
      </c>
      <c r="L43" s="3">
        <v>0</v>
      </c>
      <c r="M43" s="3"/>
      <c r="N43" s="29">
        <f t="shared" si="1"/>
        <v>118.33333333333334</v>
      </c>
    </row>
    <row r="44" spans="1:14" x14ac:dyDescent="0.35">
      <c r="A44" s="9">
        <v>34</v>
      </c>
      <c r="B44" s="31">
        <v>494</v>
      </c>
      <c r="C44" s="3">
        <v>5</v>
      </c>
      <c r="D44" s="3" t="s">
        <v>29</v>
      </c>
      <c r="E44" s="3">
        <v>1</v>
      </c>
      <c r="F44" s="24">
        <v>323</v>
      </c>
      <c r="G44" s="41">
        <v>1.8</v>
      </c>
      <c r="H44" s="3">
        <v>1</v>
      </c>
      <c r="I44" s="3">
        <v>0</v>
      </c>
      <c r="J44" s="12">
        <v>0</v>
      </c>
      <c r="K44" s="3">
        <v>0</v>
      </c>
      <c r="L44" s="3">
        <v>0</v>
      </c>
      <c r="M44" s="3"/>
      <c r="N44" s="29">
        <f t="shared" si="1"/>
        <v>179.44444444444443</v>
      </c>
    </row>
    <row r="45" spans="1:14" x14ac:dyDescent="0.35">
      <c r="A45" s="9">
        <v>35</v>
      </c>
      <c r="B45" s="31">
        <v>496</v>
      </c>
      <c r="C45" s="3">
        <v>5</v>
      </c>
      <c r="D45" s="3" t="s">
        <v>29</v>
      </c>
      <c r="E45" s="3">
        <v>1</v>
      </c>
      <c r="F45" s="24">
        <v>184</v>
      </c>
      <c r="G45" s="41">
        <v>1.2</v>
      </c>
      <c r="H45" s="3">
        <v>1</v>
      </c>
      <c r="I45" s="3">
        <v>0</v>
      </c>
      <c r="J45" s="12">
        <v>0</v>
      </c>
      <c r="K45" s="3">
        <v>0</v>
      </c>
      <c r="L45" s="3">
        <v>0</v>
      </c>
      <c r="M45" s="3"/>
      <c r="N45" s="29">
        <f t="shared" si="1"/>
        <v>153.33333333333334</v>
      </c>
    </row>
    <row r="46" spans="1:14" x14ac:dyDescent="0.35">
      <c r="A46" s="9">
        <v>36</v>
      </c>
      <c r="B46" s="31">
        <v>495</v>
      </c>
      <c r="C46" s="3"/>
      <c r="D46" s="3" t="s">
        <v>29</v>
      </c>
      <c r="E46" s="3">
        <v>0</v>
      </c>
      <c r="F46" s="24"/>
      <c r="G46" s="41"/>
      <c r="H46" s="3" t="s">
        <v>31</v>
      </c>
      <c r="I46" s="3" t="s">
        <v>31</v>
      </c>
      <c r="J46" s="12" t="s">
        <v>31</v>
      </c>
      <c r="K46" s="3" t="s">
        <v>31</v>
      </c>
      <c r="L46" s="3" t="s">
        <v>31</v>
      </c>
      <c r="M46" s="3"/>
      <c r="N46" s="29" t="str">
        <f t="shared" si="1"/>
        <v/>
      </c>
    </row>
    <row r="47" spans="1:14" x14ac:dyDescent="0.35">
      <c r="A47" s="9">
        <v>37</v>
      </c>
      <c r="B47" s="31">
        <v>504</v>
      </c>
      <c r="C47" s="3">
        <v>6</v>
      </c>
      <c r="D47" s="3" t="s">
        <v>29</v>
      </c>
      <c r="E47" s="3">
        <v>1</v>
      </c>
      <c r="F47" s="24">
        <v>240</v>
      </c>
      <c r="G47" s="41">
        <v>1.7</v>
      </c>
      <c r="H47" s="3">
        <v>1</v>
      </c>
      <c r="I47" s="3">
        <v>0</v>
      </c>
      <c r="J47" s="12">
        <v>0</v>
      </c>
      <c r="K47" s="3">
        <v>0</v>
      </c>
      <c r="L47" s="3">
        <v>0</v>
      </c>
      <c r="M47" s="3"/>
      <c r="N47" s="29">
        <f t="shared" si="1"/>
        <v>141.1764705882353</v>
      </c>
    </row>
    <row r="48" spans="1:14" x14ac:dyDescent="0.35">
      <c r="A48" s="9">
        <v>38</v>
      </c>
      <c r="B48" s="31">
        <v>503</v>
      </c>
      <c r="C48" s="3">
        <v>6</v>
      </c>
      <c r="D48" s="3" t="s">
        <v>29</v>
      </c>
      <c r="E48" s="3">
        <v>1</v>
      </c>
      <c r="F48" s="24">
        <v>215</v>
      </c>
      <c r="G48" s="41">
        <v>1.5</v>
      </c>
      <c r="H48" s="3">
        <v>1</v>
      </c>
      <c r="I48" s="3">
        <v>0</v>
      </c>
      <c r="J48" s="12">
        <v>0</v>
      </c>
      <c r="K48" s="3">
        <v>1</v>
      </c>
      <c r="L48" s="3">
        <v>1</v>
      </c>
      <c r="M48" s="3"/>
      <c r="N48" s="29">
        <f t="shared" si="1"/>
        <v>143.33333333333334</v>
      </c>
    </row>
    <row r="49" spans="1:14" x14ac:dyDescent="0.35">
      <c r="A49" s="9">
        <v>39</v>
      </c>
      <c r="B49" s="31">
        <v>502</v>
      </c>
      <c r="C49" s="3">
        <v>6</v>
      </c>
      <c r="D49" s="3" t="s">
        <v>29</v>
      </c>
      <c r="E49" s="3">
        <v>1</v>
      </c>
      <c r="F49" s="24">
        <v>189</v>
      </c>
      <c r="G49" s="41">
        <v>1.2</v>
      </c>
      <c r="H49" s="3">
        <v>1</v>
      </c>
      <c r="I49" s="3">
        <v>0</v>
      </c>
      <c r="J49" s="12">
        <v>0</v>
      </c>
      <c r="K49" s="3">
        <v>0</v>
      </c>
      <c r="L49" s="3">
        <v>0</v>
      </c>
      <c r="M49" s="3"/>
      <c r="N49" s="29">
        <f t="shared" si="1"/>
        <v>157.5</v>
      </c>
    </row>
    <row r="50" spans="1:14" x14ac:dyDescent="0.35">
      <c r="A50" s="9">
        <v>40</v>
      </c>
      <c r="B50" s="31">
        <v>501</v>
      </c>
      <c r="C50" s="3">
        <v>6</v>
      </c>
      <c r="D50" s="3" t="s">
        <v>29</v>
      </c>
      <c r="E50" s="3">
        <v>1</v>
      </c>
      <c r="F50" s="24">
        <v>171</v>
      </c>
      <c r="G50" s="41">
        <v>1.5</v>
      </c>
      <c r="H50" s="3">
        <v>1</v>
      </c>
      <c r="I50" s="3">
        <v>0</v>
      </c>
      <c r="J50" s="12">
        <v>0</v>
      </c>
      <c r="K50" s="3">
        <v>0</v>
      </c>
      <c r="L50" s="3">
        <v>0</v>
      </c>
      <c r="M50" s="3"/>
      <c r="N50" s="29">
        <f t="shared" si="1"/>
        <v>114</v>
      </c>
    </row>
    <row r="51" spans="1:14" x14ac:dyDescent="0.35">
      <c r="A51" s="9">
        <v>41</v>
      </c>
      <c r="B51" s="31">
        <v>500</v>
      </c>
      <c r="C51" s="3">
        <v>6</v>
      </c>
      <c r="D51" s="3" t="s">
        <v>29</v>
      </c>
      <c r="E51" s="3">
        <v>0</v>
      </c>
      <c r="F51" s="35"/>
      <c r="G51" s="41"/>
      <c r="H51" s="3" t="s">
        <v>31</v>
      </c>
      <c r="I51" s="3" t="s">
        <v>31</v>
      </c>
      <c r="J51" s="12" t="s">
        <v>31</v>
      </c>
      <c r="K51" s="3" t="s">
        <v>31</v>
      </c>
      <c r="L51" s="3" t="s">
        <v>31</v>
      </c>
      <c r="M51" s="3" t="s">
        <v>33</v>
      </c>
      <c r="N51" s="29" t="str">
        <f t="shared" si="1"/>
        <v/>
      </c>
    </row>
    <row r="52" spans="1:14" x14ac:dyDescent="0.35">
      <c r="A52" s="9">
        <v>42</v>
      </c>
      <c r="B52" s="31">
        <v>499</v>
      </c>
      <c r="C52" s="3">
        <v>6</v>
      </c>
      <c r="D52" s="3" t="s">
        <v>29</v>
      </c>
      <c r="E52" s="3">
        <v>1</v>
      </c>
      <c r="F52" s="35">
        <v>129</v>
      </c>
      <c r="G52" s="41"/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3"/>
      <c r="N52" s="29" t="str">
        <f t="shared" si="1"/>
        <v/>
      </c>
    </row>
    <row r="53" spans="1:14" ht="15" thickBot="1" x14ac:dyDescent="0.4">
      <c r="A53" s="9">
        <v>43</v>
      </c>
      <c r="B53" s="31">
        <v>498</v>
      </c>
      <c r="C53" s="3">
        <v>6</v>
      </c>
      <c r="D53" s="3" t="s">
        <v>29</v>
      </c>
      <c r="E53" s="3">
        <v>1</v>
      </c>
      <c r="F53" s="35">
        <v>188</v>
      </c>
      <c r="G53" s="41">
        <v>1.1000000000000001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1" t="s">
        <v>34</v>
      </c>
      <c r="N53" s="29">
        <f t="shared" si="1"/>
        <v>170.90909090909091</v>
      </c>
    </row>
    <row r="54" spans="1:14" ht="15" thickBot="1" x14ac:dyDescent="0.4">
      <c r="A54" s="38" t="s">
        <v>35</v>
      </c>
      <c r="E54" s="36">
        <f>IF(COUNT(E11:E53)=0,0,AVERAGE(E11:E53))</f>
        <v>0.93023255813953487</v>
      </c>
      <c r="F54" s="36">
        <f>IF(COUNT(F11:F53)=0,0,AVERAGE(F11:F53))</f>
        <v>220.125</v>
      </c>
      <c r="G54" s="36">
        <f>IF(COUNT(G11:G53)=0,0,AVERAGE(G11:G53))</f>
        <v>1.8055555555555556</v>
      </c>
    </row>
  </sheetData>
  <conditionalFormatting sqref="E11:L53 N11:N53">
    <cfRule type="expression" dxfId="1" priority="2">
      <formula>LEN(E11)=0</formula>
    </cfRule>
  </conditionalFormatting>
  <conditionalFormatting sqref="H11:L53 N11:N53">
    <cfRule type="expression" dxfId="0" priority="1">
      <formula>"ISBLANK(H11)"</formula>
    </cfRule>
  </conditionalFormatting>
  <dataValidations count="9">
    <dataValidation type="custom" allowBlank="1" showInputMessage="1" showErrorMessage="1" errorTitle="Not a Valid Date Format" error="Please ented date as:_x000a__x000a_dd.mm.yyyy (e.g. 24.01.2019)" sqref="B1:B3" xr:uid="{00000000-0002-0000-0000-000000000000}">
      <formula1>AND(VALUE(LEFT(B1,2))&lt;32,MID(B1,3,1)=".",VALUE(MID(B1,4,2))&lt;13,MID(B1,6,1)=".", VALUE(RIGHT(B1,4))&gt;2000)</formula1>
    </dataValidation>
    <dataValidation type="decimal" allowBlank="1" showInputMessage="1" showErrorMessage="1" sqref="B4" xr:uid="{00000000-0002-0000-0000-000001000000}">
      <formula1>1980</formula1>
      <formula2>3000</formula2>
    </dataValidation>
    <dataValidation type="list" allowBlank="1" showInputMessage="1" showErrorMessage="1" sqref="D11:D53" xr:uid="{00000000-0002-0000-0000-000002000000}">
      <formula1>LookupNames</formula1>
    </dataValidation>
    <dataValidation type="list" allowBlank="1" showInputMessage="1" showErrorMessage="1" sqref="E11:E53" xr:uid="{00000000-0002-0000-0000-000003000000}">
      <formula1>Vitality</formula1>
    </dataValidation>
    <dataValidation type="list" allowBlank="1" showInputMessage="1" showErrorMessage="1" sqref="H11:H53" xr:uid="{00000000-0002-0000-0000-000004000000}">
      <formula1>Quality</formula1>
    </dataValidation>
    <dataValidation type="list" allowBlank="1" showInputMessage="1" showErrorMessage="1" sqref="I11:I53" xr:uid="{00000000-0002-0000-0000-000005000000}">
      <formula1>Fork</formula1>
    </dataValidation>
    <dataValidation type="list" allowBlank="1" showInputMessage="1" showErrorMessage="1" sqref="J11:J53" xr:uid="{00000000-0002-0000-0000-000006000000}">
      <formula1>Liana</formula1>
    </dataValidation>
    <dataValidation type="list" allowBlank="1" showInputMessage="1" showErrorMessage="1" sqref="K11:K53" xr:uid="{00000000-0002-0000-0000-000007000000}">
      <formula1>Shoot_Old</formula1>
    </dataValidation>
    <dataValidation type="list" allowBlank="1" showInputMessage="1" showErrorMessage="1" sqref="L11:L53" xr:uid="{00000000-0002-0000-0000-000008000000}">
      <formula1>Shoot_New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E3" sqref="E3"/>
    </sheetView>
  </sheetViews>
  <sheetFormatPr defaultColWidth="8.81640625" defaultRowHeight="14.5" x14ac:dyDescent="0.35"/>
  <cols>
    <col min="1" max="1" width="22.7265625" customWidth="1"/>
    <col min="2" max="2" width="14.7265625" bestFit="1" customWidth="1"/>
    <col min="3" max="3" width="29.7265625" bestFit="1" customWidth="1"/>
    <col min="5" max="10" width="19.7265625" customWidth="1"/>
  </cols>
  <sheetData>
    <row r="1" spans="1:10" x14ac:dyDescent="0.35">
      <c r="A1" s="17" t="s">
        <v>36</v>
      </c>
      <c r="B1" s="17" t="s">
        <v>37</v>
      </c>
      <c r="C1" s="17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35">
      <c r="A2" t="s">
        <v>45</v>
      </c>
      <c r="B2" t="s">
        <v>46</v>
      </c>
      <c r="C2" t="str">
        <f>A2 &amp; " (" &amp; B2 &amp; ")"</f>
        <v>Swietenia macrophylla (Cauba)</v>
      </c>
      <c r="E2">
        <v>0</v>
      </c>
      <c r="F2" t="s">
        <v>31</v>
      </c>
      <c r="G2">
        <v>0</v>
      </c>
      <c r="H2">
        <v>0</v>
      </c>
      <c r="I2">
        <v>0</v>
      </c>
      <c r="J2">
        <v>0</v>
      </c>
    </row>
    <row r="3" spans="1:10" x14ac:dyDescent="0.35"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E4">
        <v>2</v>
      </c>
      <c r="F4">
        <v>2</v>
      </c>
      <c r="G4" t="s">
        <v>31</v>
      </c>
      <c r="H4">
        <v>2</v>
      </c>
      <c r="I4" t="s">
        <v>31</v>
      </c>
      <c r="J4" t="s">
        <v>31</v>
      </c>
    </row>
    <row r="5" spans="1:10" x14ac:dyDescent="0.35">
      <c r="E5">
        <v>3</v>
      </c>
      <c r="F5">
        <v>3</v>
      </c>
      <c r="H5" t="s">
        <v>31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759993-48F0-4A8D-9343-BEBCC44E0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1591A-0EC3-42BB-8A7E-4EC1CCCF68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82169-7E1A-40A1-B376-43109650BA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PLOT</vt:lpstr>
      <vt:lpstr>Lists</vt:lpstr>
      <vt:lpstr>Fork</vt:lpstr>
      <vt:lpstr>Liana</vt:lpstr>
      <vt:lpstr>LookupNames</vt:lpstr>
      <vt:lpstr>Quality</vt:lpstr>
      <vt:lpstr>Shoot_New</vt:lpstr>
      <vt:lpstr>Shoot_Old</vt:lpstr>
      <vt:lpstr>Vitality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