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FFC6B3C0-BD81-4C77-80FB-FC82170B587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2" l="1"/>
  <c r="I2" i="2"/>
</calcChain>
</file>

<file path=xl/sharedStrings.xml><?xml version="1.0" encoding="utf-8"?>
<sst xmlns="http://schemas.openxmlformats.org/spreadsheetml/2006/main" count="63" uniqueCount="50">
  <si>
    <t>Field Observation Date [dd.mm.yy]</t>
  </si>
  <si>
    <t>Field Reporter</t>
  </si>
  <si>
    <t>Digitalization Date [dd.mm.yyy]</t>
  </si>
  <si>
    <t>Digitalized by</t>
  </si>
  <si>
    <t>Planting Site Nr [yyyy.id]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</si>
  <si>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</si>
  <si>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</si>
  <si>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</si>
  <si>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</si>
  <si>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</si>
  <si>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</si>
  <si>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</si>
  <si>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</si>
  <si>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</si>
  <si>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</si>
  <si>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</si>
  <si>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2-Trees compresed (same hight as planted trees)</t>
  </si>
  <si>
    <t>Planting Distance [mXm]</t>
  </si>
  <si>
    <t>3x3</t>
  </si>
  <si>
    <t>Type of planting</t>
  </si>
  <si>
    <t>Gap</t>
  </si>
  <si>
    <t>Site History</t>
  </si>
  <si>
    <t>Bacadillo or Road</t>
  </si>
  <si>
    <t>Natural reproduction (NRP) of Hardwood trees left after clearing</t>
  </si>
  <si>
    <t>species</t>
  </si>
  <si>
    <t>NO NATURAL REGENERATION ()</t>
  </si>
  <si>
    <t>ammount</t>
  </si>
  <si>
    <t>Maximum Pruning height [m]</t>
  </si>
  <si>
    <t>Observation &amp; Notes</t>
  </si>
  <si>
    <t>Viel Altholz/ Keine Schlangen</t>
  </si>
  <si>
    <t>Viel Ienwuchs</t>
  </si>
  <si>
    <t>Bäume Seitlich wachsen langsmer als in der Mitte</t>
  </si>
  <si>
    <t>Planting Distance</t>
  </si>
  <si>
    <t>Scientific name</t>
  </si>
  <si>
    <t>Popular name</t>
  </si>
  <si>
    <t>Lookup name</t>
  </si>
  <si>
    <t>2x2</t>
  </si>
  <si>
    <t>Forest Fap</t>
  </si>
  <si>
    <t>1-Trees strongly compresed (Higher as plantet trees)</t>
  </si>
  <si>
    <t>NO NATURAL REGENERATION</t>
  </si>
  <si>
    <t>Nest</t>
  </si>
  <si>
    <t>Swietenia macrophylla</t>
  </si>
  <si>
    <t>Cauba</t>
  </si>
  <si>
    <t>Line</t>
  </si>
  <si>
    <t>5x5</t>
  </si>
  <si>
    <t>Milpa or Agriculture</t>
  </si>
  <si>
    <t>3-No competition</t>
  </si>
  <si>
    <t>Unknown</t>
  </si>
  <si>
    <t>3x15</t>
  </si>
  <si>
    <t>Rascal Waltz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</si>
</sst>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3" totalsRowShown="0" headerRowDxfId="2" headerRowBorderDxfId="1" tableBorderDxfId="0">
  <autoFilter ref="G1:I3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29"/>
  <sheetViews>
    <sheetView tabSelected="1" workbookViewId="0">
      <selection activeCell="C8" sqref="C8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29">
        <v>43510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49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29">
        <v>43597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49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4</v>
      </c>
      <c r="C5" s="17">
        <v>2015.01</v>
      </c>
    </row>
    <row r="6" spans="1:69" ht="16" thickTop="1" x14ac:dyDescent="0.35">
      <c r="A6" s="24" t="s">
        <v>5</v>
      </c>
      <c r="B6" s="23" t="s">
        <v>6</v>
      </c>
      <c r="C6" s="17"/>
      <c r="F6" s="19"/>
    </row>
    <row r="7" spans="1:69" ht="16" thickBot="1" x14ac:dyDescent="0.4">
      <c r="A7" s="7"/>
      <c r="B7" s="16" t="s">
        <v>7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5" t="s">
        <v>8</v>
      </c>
      <c r="B8" s="23" t="s">
        <v>9</v>
      </c>
      <c r="C8" s="17">
        <v>64</v>
      </c>
    </row>
    <row r="9" spans="1:69" ht="16" thickBot="1" x14ac:dyDescent="0.4">
      <c r="A9" s="8"/>
      <c r="B9" s="16" t="s">
        <v>10</v>
      </c>
      <c r="C9" s="17">
        <v>14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11</v>
      </c>
      <c r="C10" s="17">
        <v>15</v>
      </c>
    </row>
    <row r="11" spans="1:69" ht="16.5" thickTop="1" thickBot="1" x14ac:dyDescent="0.4">
      <c r="A11" s="4"/>
      <c r="B11" s="15" t="s">
        <v>12</v>
      </c>
      <c r="C11" s="17">
        <v>75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13</v>
      </c>
      <c r="C12" s="17">
        <v>72</v>
      </c>
    </row>
    <row r="13" spans="1:69" ht="16.5" thickTop="1" thickBot="1" x14ac:dyDescent="0.4">
      <c r="A13" s="4"/>
      <c r="B13" s="15" t="s">
        <v>14</v>
      </c>
      <c r="C13" s="17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15</v>
      </c>
      <c r="C14" s="28" t="s">
        <v>16</v>
      </c>
    </row>
    <row r="15" spans="1:69" ht="16.5" thickTop="1" thickBot="1" x14ac:dyDescent="0.4">
      <c r="A15" s="4"/>
      <c r="B15" s="15" t="s">
        <v>17</v>
      </c>
      <c r="C15" s="28" t="s">
        <v>18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19</v>
      </c>
      <c r="C16" s="28" t="s">
        <v>20</v>
      </c>
    </row>
    <row r="17" spans="1:69" ht="16.5" thickTop="1" thickBot="1" x14ac:dyDescent="0.4">
      <c r="A17" s="4"/>
      <c r="B17" s="15" t="s">
        <v>21</v>
      </c>
      <c r="C17" s="28" t="s">
        <v>22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23</v>
      </c>
      <c r="B18" s="15" t="s">
        <v>24</v>
      </c>
      <c r="C18" s="18" t="s">
        <v>25</v>
      </c>
    </row>
    <row r="19" spans="1:69" ht="16.5" thickTop="1" thickBot="1" x14ac:dyDescent="0.4">
      <c r="A19" s="9"/>
      <c r="B19" s="15" t="s">
        <v>26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24</v>
      </c>
      <c r="C20" s="17"/>
    </row>
    <row r="21" spans="1:69" ht="16.5" thickTop="1" thickBot="1" x14ac:dyDescent="0.4">
      <c r="A21" s="6"/>
      <c r="B21" s="15" t="s">
        <v>26</v>
      </c>
      <c r="C21" s="17"/>
    </row>
    <row r="22" spans="1:69" ht="16.5" thickTop="1" thickBot="1" x14ac:dyDescent="0.4">
      <c r="A22" s="6"/>
      <c r="B22" s="15" t="s">
        <v>24</v>
      </c>
      <c r="C22" s="17"/>
    </row>
    <row r="23" spans="1:69" ht="16.5" thickTop="1" thickBot="1" x14ac:dyDescent="0.4">
      <c r="A23" s="10"/>
      <c r="B23" s="15" t="s">
        <v>26</v>
      </c>
      <c r="C23" s="17"/>
    </row>
    <row r="24" spans="1:69" ht="16.5" thickTop="1" thickBot="1" x14ac:dyDescent="0.4">
      <c r="A24" s="25"/>
      <c r="B24" s="23" t="s">
        <v>27</v>
      </c>
      <c r="C24" s="17">
        <v>3</v>
      </c>
    </row>
    <row r="25" spans="1:69" ht="16" thickTop="1" x14ac:dyDescent="0.35">
      <c r="A25" s="26"/>
      <c r="B25" s="26"/>
    </row>
    <row r="26" spans="1:69" x14ac:dyDescent="0.35">
      <c r="A26" t="s">
        <v>28</v>
      </c>
    </row>
    <row r="27" spans="1:69" x14ac:dyDescent="0.35">
      <c r="A27" t="s">
        <v>29</v>
      </c>
    </row>
    <row r="28" spans="1:69" x14ac:dyDescent="0.35">
      <c r="A28" t="s">
        <v>30</v>
      </c>
    </row>
    <row r="29" spans="1:69" x14ac:dyDescent="0.35">
      <c r="A29" t="s">
        <v>31</v>
      </c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>
      <selection activeCell="B2" sqref="B2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19</v>
      </c>
      <c r="B1" s="2" t="s">
        <v>32</v>
      </c>
      <c r="C1" s="2" t="s">
        <v>21</v>
      </c>
      <c r="E1" s="2" t="s">
        <v>15</v>
      </c>
      <c r="G1" s="14" t="s">
        <v>33</v>
      </c>
      <c r="H1" s="14" t="s">
        <v>34</v>
      </c>
      <c r="I1" s="14" t="s">
        <v>35</v>
      </c>
    </row>
    <row r="2" spans="1:9" x14ac:dyDescent="0.35">
      <c r="A2" s="1" t="s">
        <v>20</v>
      </c>
      <c r="B2" s="27" t="s">
        <v>36</v>
      </c>
      <c r="C2" s="1" t="s">
        <v>37</v>
      </c>
      <c r="E2" s="11" t="s">
        <v>38</v>
      </c>
      <c r="G2" t="s">
        <v>39</v>
      </c>
      <c r="I2" t="str">
        <f>G2 &amp; " (" &amp; H2 &amp; ")"</f>
        <v>NO NATURAL REGENERATION ()</v>
      </c>
    </row>
    <row r="3" spans="1:9" x14ac:dyDescent="0.35">
      <c r="A3" s="1" t="s">
        <v>40</v>
      </c>
      <c r="B3" s="27" t="s">
        <v>18</v>
      </c>
      <c r="C3" s="1" t="s">
        <v>22</v>
      </c>
      <c r="E3" s="12" t="s">
        <v>16</v>
      </c>
      <c r="G3" t="s">
        <v>41</v>
      </c>
      <c r="H3" t="s">
        <v>42</v>
      </c>
      <c r="I3" t="str">
        <f t="shared" ref="I3" si="0">G3 &amp; " (" &amp; H3 &amp; ")"</f>
        <v>Swietenia macrophylla (Cauba)</v>
      </c>
    </row>
    <row r="4" spans="1:9" ht="15" thickBot="1" x14ac:dyDescent="0.4">
      <c r="A4" s="1" t="s">
        <v>43</v>
      </c>
      <c r="B4" s="27" t="s">
        <v>44</v>
      </c>
      <c r="C4" s="1" t="s">
        <v>45</v>
      </c>
      <c r="E4" s="13" t="s">
        <v>46</v>
      </c>
    </row>
    <row r="5" spans="1:9" x14ac:dyDescent="0.35">
      <c r="A5" s="1" t="s">
        <v>47</v>
      </c>
      <c r="B5" s="27" t="s">
        <v>48</v>
      </c>
      <c r="C5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A6735B-4E7A-4F26-AED0-5D9201207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0B080-D58A-46A7-B64E-4224AED1C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293849-FF29-4637-AD57-4E35492D966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