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827"/>
  <workbookPr filterPrivacy="1" codeName="ThisWorkbook"/>
  <xr:revisionPtr revIDLastSave="0" documentId="8_{FE753AF0-91F0-4A48-8970-DD4F9F37893C}" xr6:coauthVersionLast="45" xr6:coauthVersionMax="45" xr10:uidLastSave="{00000000-0000-0000-0000-000000000000}"/>
  <bookViews>
    <workbookView xWindow="2304" yWindow="1776" windowWidth="18408" windowHeight="11184" xr2:uid="{00000000-000D-0000-FFFF-FFFF00000000}"/>
  </bookViews>
  <sheets>
    <sheet name="Gap" sheetId="3" r:id="rId1"/>
    <sheet name="Lists" sheetId="2" r:id="rId2"/>
  </sheets>
  <definedNames>
    <definedName name="LookupNames">Table1[Lookup name]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4" i="2" l="1"/>
  <c r="I3" i="2" l="1"/>
  <c r="I2" i="2" l="1"/>
</calcChain>
</file>

<file path=xl/sharedStrings.xml><?xml version="1.0" encoding="utf-8"?>
<sst xmlns="http://schemas.openxmlformats.org/spreadsheetml/2006/main" count="63" uniqueCount="51">
  <si>
    <t>Azimut of line</t>
  </si>
  <si>
    <t>Competition Vegetation</t>
  </si>
  <si>
    <t>X</t>
  </si>
  <si>
    <t>Y</t>
  </si>
  <si>
    <t>Type of planting</t>
  </si>
  <si>
    <t>Gap</t>
  </si>
  <si>
    <t>Line</t>
  </si>
  <si>
    <t>Nest</t>
  </si>
  <si>
    <t>Site History</t>
  </si>
  <si>
    <t>Forest Fap</t>
  </si>
  <si>
    <t>Bacadillo or Road</t>
  </si>
  <si>
    <t>Milpa or Agriculture</t>
  </si>
  <si>
    <t>Natural reproduction (NRP) of Hardwood trees left after clearing</t>
  </si>
  <si>
    <t>Unknown</t>
  </si>
  <si>
    <t>Coordinates</t>
  </si>
  <si>
    <t xml:space="preserve">Crown </t>
  </si>
  <si>
    <t>MAX [m]</t>
  </si>
  <si>
    <t>MIN [m]</t>
  </si>
  <si>
    <t>species</t>
  </si>
  <si>
    <t>ammount</t>
  </si>
  <si>
    <t>1-Trees strongly compresed (Higher as plantet trees)</t>
  </si>
  <si>
    <t>2-Trees compresed (same hight as planted trees)</t>
  </si>
  <si>
    <t>3-No competition</t>
  </si>
  <si>
    <t>Swietenia macrophylla</t>
  </si>
  <si>
    <t>Cauba</t>
  </si>
  <si>
    <t>Popular name</t>
  </si>
  <si>
    <t>Scientific name</t>
  </si>
  <si>
    <t>Lookup name</t>
  </si>
  <si>
    <t>Trees found in Current Year</t>
  </si>
  <si>
    <t>Amount planted trees Current Year</t>
  </si>
  <si>
    <t>Crown coverage above Plot in [0-100%]</t>
  </si>
  <si>
    <t>NO NATURAL REGENERATION</t>
  </si>
  <si>
    <t>Maximum Pruning height [m]</t>
  </si>
  <si>
    <t>Field Observation Date [dd.mm.yy]</t>
  </si>
  <si>
    <t>Field Reporter</t>
  </si>
  <si>
    <t>Digitalization Date [dd.mm.yyy]</t>
  </si>
  <si>
    <t>Digitalized by</t>
  </si>
  <si>
    <t>3x3</t>
  </si>
  <si>
    <t>5x5</t>
  </si>
  <si>
    <t>3x15</t>
  </si>
  <si>
    <t>2x2</t>
  </si>
  <si>
    <t>Planting Site Nr [yyyy.id]</t>
  </si>
  <si>
    <t>Planting Distance [mXm]</t>
  </si>
  <si>
    <t>Planting Distance</t>
  </si>
  <si>
    <t xml:space="preserve">Louis Pena, Rene </t>
  </si>
  <si>
    <t>E.Aemisegger</t>
  </si>
  <si>
    <t>Negrito</t>
  </si>
  <si>
    <t>Citharexylum berlandieri</t>
  </si>
  <si>
    <t>Citharexylum berlandieri (Negrito)</t>
  </si>
  <si>
    <t>Trees look very healthy. The sun hits gap all day. Mostly trumpet trees growing aorund, creating very few crawn cover. Very few shoot bore. Trees are uniformly thick up to the top of the tree.</t>
  </si>
  <si>
    <t>Close to the road by the pinapple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</si>
</sst>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Calibri"/>
      <family val="2"/>
      <scheme val="minor"/>
    </font>
    <font>
      <b/>
      <sz val="12"/>
      <color theme="1"/>
      <name val="Calibri"/>
      <family val="2"/>
      <scheme val="minor"/>
    </font>
    <font>
      <sz val="11"/>
      <color theme="1"/>
      <name val="Arial"/>
      <family val="2"/>
    </font>
    <font>
      <sz val="1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399975585192419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style="thick">
        <color indexed="64"/>
      </left>
      <right/>
      <top/>
      <bottom/>
      <diagonal/>
    </border>
    <border>
      <left/>
      <right/>
      <top/>
      <bottom style="thick">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right/>
      <top style="thick">
        <color indexed="64"/>
      </top>
      <bottom style="thick">
        <color indexed="64"/>
      </bottom>
      <diagonal/>
    </border>
    <border>
      <left/>
      <right/>
      <top style="thick">
        <color indexed="64"/>
      </top>
      <bottom/>
      <diagonal/>
    </border>
    <border>
      <left/>
      <right style="thick">
        <color indexed="64"/>
      </right>
      <top style="thick">
        <color indexed="64"/>
      </top>
      <bottom/>
      <diagonal/>
    </border>
  </borders>
  <cellStyleXfs count="1">
    <xf numFmtId="0" fontId="0" fillId="0" borderId="0"/>
  </cellStyleXfs>
  <cellXfs count="34">
    <xf numFmtId="0" fontId="0" fillId="0" borderId="0" xfId="0"/>
    <xf numFmtId="0" fontId="0" fillId="0" borderId="1" xfId="0" applyBorder="1"/>
    <xf numFmtId="0" fontId="0" fillId="2" borderId="1" xfId="0" applyFill="1" applyBorder="1"/>
    <xf numFmtId="0" fontId="0" fillId="3" borderId="0" xfId="0" applyFill="1"/>
    <xf numFmtId="0" fontId="1" fillId="3" borderId="2" xfId="0" applyFont="1" applyFill="1" applyBorder="1" applyAlignment="1">
      <alignment horizontal="right" vertical="center"/>
    </xf>
    <xf numFmtId="0" fontId="0" fillId="0" borderId="0" xfId="0" applyAlignment="1">
      <alignment vertical="center"/>
    </xf>
    <xf numFmtId="0" fontId="1" fillId="0" borderId="5" xfId="0" applyFont="1" applyFill="1" applyBorder="1" applyAlignment="1">
      <alignment horizontal="right" vertical="center"/>
    </xf>
    <xf numFmtId="0" fontId="1" fillId="0" borderId="4" xfId="0" applyFont="1" applyFill="1" applyBorder="1" applyAlignment="1">
      <alignment horizontal="right" vertical="center"/>
    </xf>
    <xf numFmtId="0" fontId="1" fillId="0" borderId="0" xfId="0" applyFont="1" applyFill="1" applyBorder="1" applyAlignment="1">
      <alignment horizontal="right" vertical="center"/>
    </xf>
    <xf numFmtId="0" fontId="0" fillId="0" borderId="6" xfId="0" applyBorder="1" applyAlignment="1">
      <alignment vertical="center"/>
    </xf>
    <xf numFmtId="0" fontId="2" fillId="0" borderId="7"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0" fontId="0" fillId="0" borderId="0" xfId="0" applyFill="1"/>
    <xf numFmtId="0" fontId="0" fillId="5" borderId="10" xfId="0" applyFill="1" applyBorder="1"/>
    <xf numFmtId="0" fontId="1" fillId="3" borderId="11" xfId="0" applyFont="1" applyFill="1" applyBorder="1" applyAlignment="1">
      <alignment horizontal="right" vertical="center"/>
    </xf>
    <xf numFmtId="0" fontId="1" fillId="3" borderId="6" xfId="0" applyFont="1" applyFill="1" applyBorder="1" applyAlignment="1">
      <alignment horizontal="right" vertical="center"/>
    </xf>
    <xf numFmtId="0" fontId="0" fillId="4" borderId="1" xfId="0" applyFill="1" applyBorder="1"/>
    <xf numFmtId="0" fontId="3" fillId="4" borderId="1" xfId="0" applyFont="1" applyFill="1" applyBorder="1"/>
    <xf numFmtId="164" fontId="0" fillId="0" borderId="0" xfId="0" applyNumberFormat="1" applyFill="1"/>
    <xf numFmtId="2" fontId="0" fillId="4" borderId="1" xfId="0" applyNumberFormat="1" applyFill="1" applyBorder="1"/>
    <xf numFmtId="0" fontId="1" fillId="6" borderId="2" xfId="0" applyFont="1" applyFill="1" applyBorder="1" applyAlignment="1">
      <alignment horizontal="right" vertical="center"/>
    </xf>
    <xf numFmtId="0" fontId="1" fillId="6" borderId="11" xfId="0" applyFont="1" applyFill="1" applyBorder="1" applyAlignment="1">
      <alignment horizontal="right" vertical="center"/>
    </xf>
    <xf numFmtId="0" fontId="1" fillId="3" borderId="12" xfId="0" applyFont="1" applyFill="1" applyBorder="1" applyAlignment="1">
      <alignment horizontal="right" vertical="center"/>
    </xf>
    <xf numFmtId="0" fontId="1" fillId="3" borderId="5" xfId="0" applyFont="1" applyFill="1" applyBorder="1" applyAlignment="1">
      <alignment horizontal="right" vertical="center"/>
    </xf>
    <xf numFmtId="0" fontId="1" fillId="3" borderId="13" xfId="0" applyFont="1" applyFill="1" applyBorder="1" applyAlignment="1">
      <alignment horizontal="right" vertical="center"/>
    </xf>
    <xf numFmtId="0" fontId="1" fillId="0" borderId="12" xfId="0" applyFont="1" applyFill="1" applyBorder="1" applyAlignment="1">
      <alignment horizontal="right" vertical="center"/>
    </xf>
    <xf numFmtId="0" fontId="0" fillId="0" borderId="1" xfId="0" applyBorder="1" applyAlignment="1">
      <alignment horizontal="center"/>
    </xf>
    <xf numFmtId="0" fontId="0" fillId="7" borderId="1" xfId="0" applyFill="1" applyBorder="1"/>
    <xf numFmtId="14" fontId="0" fillId="4" borderId="1" xfId="0" applyNumberFormat="1" applyFill="1" applyBorder="1"/>
    <xf numFmtId="0" fontId="1" fillId="8" borderId="2" xfId="0" applyFont="1" applyFill="1" applyBorder="1" applyAlignment="1">
      <alignment horizontal="right" vertical="center"/>
    </xf>
    <xf numFmtId="0" fontId="1" fillId="4" borderId="3" xfId="0" applyFont="1" applyFill="1" applyBorder="1" applyAlignment="1">
      <alignment horizontal="right" vertical="center"/>
    </xf>
    <xf numFmtId="0" fontId="1" fillId="4" borderId="2" xfId="0" applyFont="1" applyFill="1" applyBorder="1" applyAlignment="1">
      <alignment horizontal="right" vertical="center"/>
    </xf>
    <xf numFmtId="9" fontId="0" fillId="4" borderId="1" xfId="0" applyNumberFormat="1" applyFill="1" applyBorder="1"/>
  </cellXfs>
  <cellStyles count="1">
    <cellStyle name="Standard" xfId="0" builtinId="0"/>
  </cellStyles>
  <dxfs count="3">
    <dxf>
      <border outline="0">
        <top style="thin">
          <color indexed="64"/>
        </top>
      </border>
    </dxf>
    <dxf>
      <border outline="0">
        <bottom style="thin">
          <color indexed="64"/>
        </bottom>
      </border>
    </dxf>
    <dxf>
      <fill>
        <patternFill patternType="solid">
          <fgColor indexed="64"/>
          <bgColor theme="1"/>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G1:I4" totalsRowShown="0" headerRowDxfId="2" headerRowBorderDxfId="1" tableBorderDxfId="0">
  <autoFilter ref="G1:I4" xr:uid="{00000000-0009-0000-0100-000001000000}"/>
  <tableColumns count="3">
    <tableColumn id="1" xr3:uid="{00000000-0010-0000-0000-000001000000}" name="Scientific name"/>
    <tableColumn id="2" xr3:uid="{00000000-0010-0000-0000-000002000000}" name="Popular name"/>
    <tableColumn id="3" xr3:uid="{00000000-0010-0000-0000-000003000000}" name="Lookup name">
      <calculatedColumnFormula>G2 &amp; " (" &amp; H2 &amp;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Q27"/>
  <sheetViews>
    <sheetView tabSelected="1" topLeftCell="A10" workbookViewId="0">
      <selection activeCell="C12" sqref="C12"/>
    </sheetView>
  </sheetViews>
  <sheetFormatPr baseColWidth="10" defaultColWidth="8.88671875" defaultRowHeight="14.4" x14ac:dyDescent="0.3"/>
  <cols>
    <col min="1" max="1" width="60.5546875" bestFit="1" customWidth="1"/>
    <col min="2" max="2" width="9.88671875" customWidth="1"/>
    <col min="3" max="3" width="44.88671875" customWidth="1"/>
    <col min="4" max="4" width="7.6640625" style="13" bestFit="1" customWidth="1"/>
    <col min="5" max="5" width="8.6640625" style="13"/>
    <col min="6" max="6" width="9.88671875" style="13" bestFit="1" customWidth="1"/>
    <col min="7" max="7" width="8.6640625" style="13"/>
    <col min="8" max="8" width="9.44140625" style="13" bestFit="1" customWidth="1"/>
    <col min="9" max="25" width="8.6640625" style="13"/>
  </cols>
  <sheetData>
    <row r="1" spans="1:69" ht="16.8" thickTop="1" thickBot="1" x14ac:dyDescent="0.35">
      <c r="A1" s="4"/>
      <c r="B1" s="15" t="s">
        <v>33</v>
      </c>
      <c r="C1" s="29">
        <v>43514</v>
      </c>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row>
    <row r="2" spans="1:69" ht="16.8" thickTop="1" thickBot="1" x14ac:dyDescent="0.35">
      <c r="A2" s="4"/>
      <c r="B2" s="15" t="s">
        <v>34</v>
      </c>
      <c r="C2" s="20" t="s">
        <v>44</v>
      </c>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row>
    <row r="3" spans="1:69" ht="16.8" thickTop="1" thickBot="1" x14ac:dyDescent="0.35">
      <c r="A3" s="21"/>
      <c r="B3" s="22" t="s">
        <v>35</v>
      </c>
      <c r="C3" s="29"/>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row>
    <row r="4" spans="1:69" ht="16.8" thickTop="1" thickBot="1" x14ac:dyDescent="0.35">
      <c r="A4" s="21"/>
      <c r="B4" s="22" t="s">
        <v>36</v>
      </c>
      <c r="C4" s="20" t="s">
        <v>45</v>
      </c>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row>
    <row r="5" spans="1:69" ht="16.8" thickTop="1" thickBot="1" x14ac:dyDescent="0.35">
      <c r="A5" s="4"/>
      <c r="B5" s="15" t="s">
        <v>41</v>
      </c>
      <c r="C5" s="17">
        <v>2018.02</v>
      </c>
    </row>
    <row r="6" spans="1:69" ht="16.2" thickTop="1" x14ac:dyDescent="0.3">
      <c r="A6" s="24" t="s">
        <v>14</v>
      </c>
      <c r="B6" s="23" t="s">
        <v>2</v>
      </c>
      <c r="C6" s="17">
        <v>18.00536</v>
      </c>
      <c r="F6" s="19"/>
    </row>
    <row r="7" spans="1:69" ht="16.2" thickBot="1" x14ac:dyDescent="0.35">
      <c r="A7" s="6"/>
      <c r="B7" s="16" t="s">
        <v>3</v>
      </c>
      <c r="C7" s="17">
        <v>88.216049999999996</v>
      </c>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row>
    <row r="8" spans="1:69" ht="16.2" thickTop="1" x14ac:dyDescent="0.3">
      <c r="A8" s="31" t="s">
        <v>15</v>
      </c>
      <c r="B8" s="23" t="s">
        <v>16</v>
      </c>
      <c r="C8" s="17">
        <v>21.7</v>
      </c>
    </row>
    <row r="9" spans="1:69" ht="16.2" thickBot="1" x14ac:dyDescent="0.35">
      <c r="A9" s="7"/>
      <c r="B9" s="16" t="s">
        <v>17</v>
      </c>
      <c r="C9" s="17">
        <v>20.3</v>
      </c>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row>
    <row r="10" spans="1:69" ht="16.8" thickTop="1" thickBot="1" x14ac:dyDescent="0.35">
      <c r="A10" s="32"/>
      <c r="B10" s="15" t="s">
        <v>30</v>
      </c>
      <c r="C10" s="33">
        <v>0</v>
      </c>
    </row>
    <row r="11" spans="1:69" ht="16.8" thickTop="1" thickBot="1" x14ac:dyDescent="0.35">
      <c r="A11" s="32"/>
      <c r="B11" s="15" t="s">
        <v>29</v>
      </c>
      <c r="C11" s="17"/>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row>
    <row r="12" spans="1:69" ht="16.8" thickTop="1" thickBot="1" x14ac:dyDescent="0.35">
      <c r="A12" s="32"/>
      <c r="B12" s="15" t="s">
        <v>28</v>
      </c>
      <c r="C12" s="17">
        <v>44</v>
      </c>
    </row>
    <row r="13" spans="1:69" ht="16.8" thickTop="1" thickBot="1" x14ac:dyDescent="0.35">
      <c r="A13" s="30"/>
      <c r="B13" s="15" t="s">
        <v>0</v>
      </c>
      <c r="C13" s="17">
        <v>81</v>
      </c>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row>
    <row r="14" spans="1:69" ht="16.8" thickTop="1" thickBot="1" x14ac:dyDescent="0.35">
      <c r="A14" s="30"/>
      <c r="B14" s="15" t="s">
        <v>1</v>
      </c>
      <c r="C14" s="28" t="s">
        <v>21</v>
      </c>
    </row>
    <row r="15" spans="1:69" ht="16.8" thickTop="1" thickBot="1" x14ac:dyDescent="0.35">
      <c r="A15" s="32"/>
      <c r="B15" s="15" t="s">
        <v>42</v>
      </c>
      <c r="C15" s="28" t="s">
        <v>37</v>
      </c>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row>
    <row r="16" spans="1:69" ht="16.8" thickTop="1" thickBot="1" x14ac:dyDescent="0.35">
      <c r="A16" s="32"/>
      <c r="B16" s="15" t="s">
        <v>4</v>
      </c>
      <c r="C16" s="28" t="s">
        <v>5</v>
      </c>
    </row>
    <row r="17" spans="1:69" ht="16.8" thickTop="1" thickBot="1" x14ac:dyDescent="0.35">
      <c r="A17" s="32"/>
      <c r="B17" s="15" t="s">
        <v>8</v>
      </c>
      <c r="C17" s="28" t="s">
        <v>11</v>
      </c>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row>
    <row r="18" spans="1:69" ht="16.8" thickTop="1" thickBot="1" x14ac:dyDescent="0.35">
      <c r="A18" s="24" t="s">
        <v>12</v>
      </c>
      <c r="B18" s="15" t="s">
        <v>18</v>
      </c>
      <c r="C18" s="18" t="s">
        <v>48</v>
      </c>
    </row>
    <row r="19" spans="1:69" ht="16.8" thickTop="1" thickBot="1" x14ac:dyDescent="0.35">
      <c r="A19" s="8"/>
      <c r="B19" s="15" t="s">
        <v>19</v>
      </c>
      <c r="C19" s="18">
        <v>1</v>
      </c>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row>
    <row r="20" spans="1:69" ht="16.8" thickTop="1" thickBot="1" x14ac:dyDescent="0.35">
      <c r="A20" s="5"/>
      <c r="B20" s="15" t="s">
        <v>18</v>
      </c>
      <c r="C20" s="17"/>
    </row>
    <row r="21" spans="1:69" ht="16.8" thickTop="1" thickBot="1" x14ac:dyDescent="0.35">
      <c r="A21" s="5"/>
      <c r="B21" s="15" t="s">
        <v>19</v>
      </c>
      <c r="C21" s="17"/>
    </row>
    <row r="22" spans="1:69" ht="16.8" thickTop="1" thickBot="1" x14ac:dyDescent="0.35">
      <c r="A22" s="5"/>
      <c r="B22" s="15" t="s">
        <v>18</v>
      </c>
      <c r="C22" s="17"/>
    </row>
    <row r="23" spans="1:69" ht="16.8" thickTop="1" thickBot="1" x14ac:dyDescent="0.35">
      <c r="A23" s="9"/>
      <c r="B23" s="15" t="s">
        <v>19</v>
      </c>
      <c r="C23" s="17"/>
    </row>
    <row r="24" spans="1:69" ht="16.8" thickTop="1" thickBot="1" x14ac:dyDescent="0.35">
      <c r="A24" s="25"/>
      <c r="B24" s="23" t="s">
        <v>32</v>
      </c>
      <c r="C24" s="17">
        <v>3</v>
      </c>
    </row>
    <row r="25" spans="1:69" ht="16.2" thickTop="1" x14ac:dyDescent="0.3">
      <c r="A25" s="26"/>
      <c r="B25" s="26"/>
    </row>
    <row r="26" spans="1:69" x14ac:dyDescent="0.3">
      <c r="A26" t="s">
        <v>49</v>
      </c>
    </row>
    <row r="27" spans="1:69" x14ac:dyDescent="0.3">
      <c r="A27" t="s">
        <v>50</v>
      </c>
    </row>
  </sheetData>
  <dataValidations count="2">
    <dataValidation type="list" allowBlank="1" showInputMessage="1" showErrorMessage="1" sqref="C18 C20 C22" xr:uid="{00000000-0002-0000-0000-000000000000}">
      <formula1>LookupNames</formula1>
    </dataValidation>
    <dataValidation allowBlank="1" showInputMessage="1" showErrorMessage="1" errorTitle="Not a valid date" error="Please ented date as:_x000a__x000a_dd.mm.yyyy (e.g. 24.01.2019)" sqref="C1:C4" xr:uid="{00000000-0002-0000-0000-000001000000}"/>
  </dataValidations>
  <pageMargins left="0.7" right="0.7" top="0.75" bottom="0.75" header="0.3" footer="0.3"/>
  <pageSetup orientation="portrait" horizontalDpi="4294967293"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2000000}">
          <x14:formula1>
            <xm:f>Lists!$A$2:$A$5</xm:f>
          </x14:formula1>
          <xm:sqref>C16</xm:sqref>
        </x14:dataValidation>
        <x14:dataValidation type="list" allowBlank="1" showInputMessage="1" showErrorMessage="1" xr:uid="{00000000-0002-0000-0000-000003000000}">
          <x14:formula1>
            <xm:f>Lists!$C$2:$C$5</xm:f>
          </x14:formula1>
          <xm:sqref>C17</xm:sqref>
        </x14:dataValidation>
        <x14:dataValidation type="list" allowBlank="1" showInputMessage="1" showErrorMessage="1" xr:uid="{00000000-0002-0000-0000-000004000000}">
          <x14:formula1>
            <xm:f>Lists!$E$2:$E$4</xm:f>
          </x14:formula1>
          <xm:sqref>C14</xm:sqref>
        </x14:dataValidation>
        <x14:dataValidation type="list" allowBlank="1" showInputMessage="1" showErrorMessage="1" xr:uid="{00000000-0002-0000-0000-000005000000}">
          <x14:formula1>
            <xm:f>Lists!$B$2:$B$5</xm:f>
          </x14:formula1>
          <xm:sqref>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5"/>
  <sheetViews>
    <sheetView workbookViewId="0">
      <selection activeCell="G8" sqref="G8"/>
    </sheetView>
  </sheetViews>
  <sheetFormatPr baseColWidth="10" defaultColWidth="8.88671875" defaultRowHeight="14.4" x14ac:dyDescent="0.3"/>
  <cols>
    <col min="1" max="1" width="14.33203125" bestFit="1" customWidth="1"/>
    <col min="2" max="2" width="15.109375" bestFit="1" customWidth="1"/>
    <col min="3" max="3" width="17.5546875" bestFit="1" customWidth="1"/>
    <col min="5" max="5" width="47.5546875" bestFit="1" customWidth="1"/>
    <col min="7" max="7" width="25.6640625" bestFit="1" customWidth="1"/>
    <col min="8" max="8" width="22.6640625" customWidth="1"/>
    <col min="9" max="9" width="38.109375" customWidth="1"/>
  </cols>
  <sheetData>
    <row r="1" spans="1:9" ht="15" thickBot="1" x14ac:dyDescent="0.35">
      <c r="A1" s="2" t="s">
        <v>4</v>
      </c>
      <c r="B1" s="2" t="s">
        <v>43</v>
      </c>
      <c r="C1" s="2" t="s">
        <v>8</v>
      </c>
      <c r="E1" s="2" t="s">
        <v>1</v>
      </c>
      <c r="G1" s="14" t="s">
        <v>26</v>
      </c>
      <c r="H1" s="14" t="s">
        <v>25</v>
      </c>
      <c r="I1" s="14" t="s">
        <v>27</v>
      </c>
    </row>
    <row r="2" spans="1:9" x14ac:dyDescent="0.3">
      <c r="A2" s="1" t="s">
        <v>5</v>
      </c>
      <c r="B2" s="27" t="s">
        <v>40</v>
      </c>
      <c r="C2" s="1" t="s">
        <v>9</v>
      </c>
      <c r="E2" s="10" t="s">
        <v>20</v>
      </c>
      <c r="G2" t="s">
        <v>31</v>
      </c>
      <c r="I2" t="str">
        <f>G2 &amp; " (" &amp; H2 &amp; ")"</f>
        <v>NO NATURAL REGENERATION ()</v>
      </c>
    </row>
    <row r="3" spans="1:9" x14ac:dyDescent="0.3">
      <c r="A3" s="1" t="s">
        <v>7</v>
      </c>
      <c r="B3" s="27" t="s">
        <v>37</v>
      </c>
      <c r="C3" s="1" t="s">
        <v>10</v>
      </c>
      <c r="E3" s="11" t="s">
        <v>21</v>
      </c>
      <c r="G3" t="s">
        <v>23</v>
      </c>
      <c r="H3" t="s">
        <v>24</v>
      </c>
      <c r="I3" t="str">
        <f>G3 &amp; " (" &amp; H3 &amp; ")"</f>
        <v>Swietenia macrophylla (Cauba)</v>
      </c>
    </row>
    <row r="4" spans="1:9" ht="15" thickBot="1" x14ac:dyDescent="0.35">
      <c r="A4" s="1" t="s">
        <v>6</v>
      </c>
      <c r="B4" s="27" t="s">
        <v>38</v>
      </c>
      <c r="C4" s="1" t="s">
        <v>11</v>
      </c>
      <c r="E4" s="12" t="s">
        <v>22</v>
      </c>
      <c r="G4" t="s">
        <v>47</v>
      </c>
      <c r="H4" t="s">
        <v>46</v>
      </c>
      <c r="I4" t="str">
        <f>G4 &amp; " (" &amp; H4 &amp; ")"</f>
        <v>Citharexylum berlandieri (Negrito)</v>
      </c>
    </row>
    <row r="5" spans="1:9" x14ac:dyDescent="0.3">
      <c r="A5" s="1" t="s">
        <v>13</v>
      </c>
      <c r="B5" s="27" t="s">
        <v>39</v>
      </c>
      <c r="C5" s="1" t="s">
        <v>13</v>
      </c>
    </row>
  </sheetData>
  <pageMargins left="0.7" right="0.7" top="0.75" bottom="0.75" header="0.3" footer="0.3"/>
  <pageSetup paperSize="9"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5AD4B5EB67CF8948AB88EC4783EBB902" ma:contentTypeVersion="12" ma:contentTypeDescription="Ein neues Dokument erstellen." ma:contentTypeScope="" ma:versionID="cf5bfd3a3dc57f6b03a8b41d3a193e31">
  <xsd:schema xmlns:xsd="http://www.w3.org/2001/XMLSchema" xmlns:xs="http://www.w3.org/2001/XMLSchema" xmlns:p="http://schemas.microsoft.com/office/2006/metadata/properties" xmlns:ns2="91356515-81bc-4b9c-a7d5-5cbc2d043419" xmlns:ns3="eaa3a4e2-322f-4d05-a271-c4c727146c7e" targetNamespace="http://schemas.microsoft.com/office/2006/metadata/properties" ma:root="true" ma:fieldsID="d8b7f4874ebd4874057922bd57c36178" ns2:_="" ns3:_="">
    <xsd:import namespace="91356515-81bc-4b9c-a7d5-5cbc2d043419"/>
    <xsd:import namespace="eaa3a4e2-322f-4d05-a271-c4c727146c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356515-81bc-4b9c-a7d5-5cbc2d0434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a3a4e2-322f-4d05-a271-c4c727146c7e"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014DFD-A3F2-4EA8-B9DE-BC0F20B95BDD}">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www.w3.org/XML/1998/namespace"/>
    <ds:schemaRef ds:uri="http://purl.org/dc/dcmitype/"/>
  </ds:schemaRefs>
</ds:datastoreItem>
</file>

<file path=customXml/itemProps2.xml><?xml version="1.0" encoding="utf-8"?>
<ds:datastoreItem xmlns:ds="http://schemas.openxmlformats.org/officeDocument/2006/customXml" ds:itemID="{995385A2-18E3-4CD5-89B2-7FC097C4869A}"/>
</file>

<file path=customXml/itemProps3.xml><?xml version="1.0" encoding="utf-8"?>
<ds:datastoreItem xmlns:ds="http://schemas.openxmlformats.org/officeDocument/2006/customXml" ds:itemID="{3E308C98-A911-4770-9A03-26876ABA42E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Gap</vt:lpstr>
      <vt:lpstr>Lists</vt:lpstr>
      <vt:lpstr>LookupNames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2020-06-14T12:20:59Z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0x0101005AD4B5EB67CF8948AB88EC4783EBB902</vt:lpwstr>
  </property>
</Properties>
</file>