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01F4735F-B945-481B-BD10-6599BF6AA3FB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Gap" sheetId="3" r:id="rId1"/>
    <sheet name="Lists" sheetId="2" r:id="rId2"/>
  </sheets>
  <definedNames>
    <definedName name="LookupNames">Table1[Lookup 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2" l="1"/>
  <c r="I5" i="2" l="1"/>
  <c r="I4" i="2" l="1"/>
  <c r="I3" i="2" l="1"/>
  <c r="I2" i="2"/>
</calcChain>
</file>

<file path=xl/sharedStrings.xml><?xml version="1.0" encoding="utf-8"?>
<sst xmlns="http://schemas.openxmlformats.org/spreadsheetml/2006/main" count="72" uniqueCount="60">
  <si>
    <t>Field Observation Date [dd.mm.yy]</t>
  </si>
  <si>
    <t>Field Reporter</t>
  </si>
  <si>
    <t>Digitalization Date [dd.mm.yyy]</t>
  </si>
  <si>
    <t>Digitalized by</t>
  </si>
  <si>
    <t>Planting Site Nr [yyyy.id]</t>
  </si>
  <si>
    <t>Coordinates</t>
  </si>
  <si>
    <t>X</t>
  </si>
  <si>
    <t>Y</t>
  </si>
  <si>
    <t xml:space="preserve">Crown </t>
  </si>
  <si>
    <t>MAX [m]</t>
  </si>
  <si>
    <t>MIN [m]</t>
  </si>
  <si>
    <t>Crown coverage above Plot in [0-100%]</t>
  </si>
  <si>
    <t>Amount planted trees Current Year</t>
  </si>
  <si>
    <t>Trees found in Current Year</t>
  </si>
  <si>
    <t>Azimut of line</t>
  </si>
  <si>
    <t>Competition Vegetation</t>
  </si>
  <si>
    <t>3-No competition</t>
  </si>
  <si>
    <t>Planting Distance [mXm]</t>
  </si>
  <si>
    <t>2x2</t>
  </si>
  <si>
    <t>Type of planting</t>
  </si>
  <si>
    <t>Gap</t>
  </si>
  <si>
    <t>Site History</t>
  </si>
  <si>
    <t>Bacadillo or Road</t>
  </si>
  <si>
    <t>Natural reproduction (NRP) of Hardwood trees left after clearing</t>
  </si>
  <si>
    <t>species</t>
  </si>
  <si>
    <t xml:space="preserve"> (Worrywood)</t>
  </si>
  <si>
    <t>ammount</t>
  </si>
  <si>
    <t>Maximum Pruning height [m]</t>
  </si>
  <si>
    <t>Plot Size [m m m m]</t>
  </si>
  <si>
    <t>Observations and Notes</t>
  </si>
  <si>
    <t>written bysisde, Total 44, undef.</t>
  </si>
  <si>
    <t>Gab is closing, Bayal try to catch the Sm</t>
  </si>
  <si>
    <t>Nice Worrywood, ca. 40 cm BDH, south of gab/ Harvest</t>
  </si>
  <si>
    <t>Mulde durch alte Strasse</t>
  </si>
  <si>
    <t>Qualität und Vitalität gut, wertasting bis 2 M ausgeführt</t>
  </si>
  <si>
    <t>Viele Zwiesel auf ca. 4m (entfernen bei Nachpflege)</t>
  </si>
  <si>
    <t>Planting Distance</t>
  </si>
  <si>
    <t>Scientific name</t>
  </si>
  <si>
    <t>Popular name</t>
  </si>
  <si>
    <t>Lookup name</t>
  </si>
  <si>
    <t>Forest Fap</t>
  </si>
  <si>
    <t>1-Trees strongly compresed (Higher as plantet trees)</t>
  </si>
  <si>
    <t>NO NATURAL REGENERATION</t>
  </si>
  <si>
    <t>Nest</t>
  </si>
  <si>
    <t>3x3</t>
  </si>
  <si>
    <t>2-Trees compresed (same hight as planted trees)</t>
  </si>
  <si>
    <t>Swietenia macrophylla</t>
  </si>
  <si>
    <t>Caoba</t>
  </si>
  <si>
    <t>Line</t>
  </si>
  <si>
    <t>5x5</t>
  </si>
  <si>
    <t>Milpa or Agriculture</t>
  </si>
  <si>
    <t>Lonchocarpus castilloi</t>
  </si>
  <si>
    <t>Machich</t>
  </si>
  <si>
    <t>Unknown</t>
  </si>
  <si>
    <t>3x15</t>
  </si>
  <si>
    <t>Cedrela odorata</t>
  </si>
  <si>
    <t>Cedro</t>
  </si>
  <si>
    <t>Worrywood</t>
  </si>
  <si>
    <t>Rascal Waltz, Esther Segger</t>
  </si>
  <si>
    <t>Esther Segger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</si>
</sst>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1" fillId="3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5" borderId="10" xfId="0" applyFill="1" applyBorder="1"/>
    <xf numFmtId="0" fontId="1" fillId="3" borderId="11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0" fillId="4" borderId="1" xfId="0" applyFill="1" applyBorder="1"/>
    <xf numFmtId="0" fontId="3" fillId="4" borderId="1" xfId="0" applyFont="1" applyFill="1" applyBorder="1"/>
    <xf numFmtId="164" fontId="0" fillId="0" borderId="0" xfId="0" applyNumberFormat="1"/>
    <xf numFmtId="2" fontId="0" fillId="4" borderId="1" xfId="0" applyNumberFormat="1" applyFill="1" applyBorder="1"/>
    <xf numFmtId="0" fontId="1" fillId="6" borderId="2" xfId="0" applyFont="1" applyFill="1" applyBorder="1" applyAlignment="1">
      <alignment horizontal="right" vertical="center"/>
    </xf>
    <xf numFmtId="0" fontId="1" fillId="6" borderId="11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7" borderId="1" xfId="0" applyFill="1" applyBorder="1"/>
    <xf numFmtId="0" fontId="1" fillId="3" borderId="2" xfId="0" applyFont="1" applyFill="1" applyBorder="1" applyAlignment="1">
      <alignment horizontal="right" vertical="center" wrapText="1"/>
    </xf>
    <xf numFmtId="0" fontId="0" fillId="4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G1:I6" totalsRowShown="0" headerRowDxfId="2" headerRowBorderDxfId="1" tableBorderDxfId="0">
  <autoFilter ref="G1:I6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G2 &amp; " (" &amp; H2 &amp; ")"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Q37"/>
  <sheetViews>
    <sheetView workbookViewId="0">
      <selection activeCell="A46" sqref="A46"/>
    </sheetView>
  </sheetViews>
  <sheetFormatPr defaultColWidth="8.81640625" defaultRowHeight="14.5" x14ac:dyDescent="0.35"/>
  <cols>
    <col min="1" max="1" width="60.54296875" bestFit="1" customWidth="1"/>
    <col min="2" max="2" width="9.81640625" customWidth="1"/>
    <col min="3" max="3" width="44.81640625" customWidth="1"/>
    <col min="4" max="4" width="7.7265625" bestFit="1" customWidth="1"/>
    <col min="5" max="5" width="8.7265625"/>
    <col min="6" max="6" width="9.81640625" bestFit="1" customWidth="1"/>
    <col min="7" max="7" width="8.7265625"/>
    <col min="8" max="8" width="9.453125" bestFit="1" customWidth="1"/>
    <col min="9" max="25" width="8.7265625"/>
  </cols>
  <sheetData>
    <row r="1" spans="1:69" ht="16.5" thickTop="1" thickBot="1" x14ac:dyDescent="0.4">
      <c r="A1" s="4"/>
      <c r="B1" s="15" t="s">
        <v>0</v>
      </c>
      <c r="C1" s="34">
        <v>43504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6.5" thickTop="1" thickBot="1" x14ac:dyDescent="0.4">
      <c r="A2" s="4"/>
      <c r="B2" s="15" t="s">
        <v>1</v>
      </c>
      <c r="C2" s="20" t="s">
        <v>58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6.5" thickTop="1" thickBot="1" x14ac:dyDescent="0.4">
      <c r="A3" s="21"/>
      <c r="B3" s="22" t="s">
        <v>2</v>
      </c>
      <c r="C3" s="34">
        <v>43993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ht="16.5" thickTop="1" thickBot="1" x14ac:dyDescent="0.4">
      <c r="A4" s="21"/>
      <c r="B4" s="22" t="s">
        <v>3</v>
      </c>
      <c r="C4" s="20" t="s">
        <v>59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6.5" thickTop="1" thickBot="1" x14ac:dyDescent="0.4">
      <c r="A5" s="4"/>
      <c r="B5" s="15" t="s">
        <v>4</v>
      </c>
      <c r="C5" s="17">
        <v>2014.05</v>
      </c>
    </row>
    <row r="6" spans="1:69" ht="16" thickTop="1" x14ac:dyDescent="0.35">
      <c r="A6" s="24" t="s">
        <v>5</v>
      </c>
      <c r="B6" s="23" t="s">
        <v>6</v>
      </c>
      <c r="C6" s="17"/>
      <c r="F6" s="19"/>
    </row>
    <row r="7" spans="1:69" ht="16" thickBot="1" x14ac:dyDescent="0.4">
      <c r="A7" s="7"/>
      <c r="B7" s="16" t="s">
        <v>7</v>
      </c>
      <c r="C7" s="17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ht="16" thickTop="1" x14ac:dyDescent="0.35">
      <c r="A8" s="5" t="s">
        <v>8</v>
      </c>
      <c r="B8" s="23" t="s">
        <v>9</v>
      </c>
      <c r="C8" s="17">
        <v>31.4</v>
      </c>
    </row>
    <row r="9" spans="1:69" ht="16" thickBot="1" x14ac:dyDescent="0.4">
      <c r="A9" s="8"/>
      <c r="B9" s="16" t="s">
        <v>10</v>
      </c>
      <c r="C9" s="17">
        <v>14.1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ht="16.5" thickTop="1" thickBot="1" x14ac:dyDescent="0.4">
      <c r="A10" s="4"/>
      <c r="B10" s="15" t="s">
        <v>11</v>
      </c>
      <c r="C10" s="17">
        <v>10</v>
      </c>
    </row>
    <row r="11" spans="1:69" ht="16.5" thickTop="1" thickBot="1" x14ac:dyDescent="0.4">
      <c r="A11" s="4"/>
      <c r="B11" s="15" t="s">
        <v>12</v>
      </c>
      <c r="C11" s="17">
        <v>50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ht="16.5" thickTop="1" thickBot="1" x14ac:dyDescent="0.4">
      <c r="A12" s="4"/>
      <c r="B12" s="15" t="s">
        <v>13</v>
      </c>
      <c r="C12" s="17">
        <v>43</v>
      </c>
    </row>
    <row r="13" spans="1:69" ht="16.5" thickTop="1" thickBot="1" x14ac:dyDescent="0.4">
      <c r="A13" s="4"/>
      <c r="B13" s="15" t="s">
        <v>14</v>
      </c>
      <c r="C13" s="17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ht="16.5" thickTop="1" thickBot="1" x14ac:dyDescent="0.4">
      <c r="A14" s="4"/>
      <c r="B14" s="15" t="s">
        <v>15</v>
      </c>
      <c r="C14" s="27" t="s">
        <v>16</v>
      </c>
    </row>
    <row r="15" spans="1:69" ht="16.5" thickTop="1" thickBot="1" x14ac:dyDescent="0.4">
      <c r="A15" s="4"/>
      <c r="B15" s="15" t="s">
        <v>17</v>
      </c>
      <c r="C15" s="27" t="s">
        <v>18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16.5" thickTop="1" thickBot="1" x14ac:dyDescent="0.4">
      <c r="A16" s="4"/>
      <c r="B16" s="15" t="s">
        <v>19</v>
      </c>
      <c r="C16" s="27" t="s">
        <v>20</v>
      </c>
    </row>
    <row r="17" spans="1:69" ht="16.5" thickTop="1" thickBot="1" x14ac:dyDescent="0.4">
      <c r="A17" s="4"/>
      <c r="B17" s="15" t="s">
        <v>21</v>
      </c>
      <c r="C17" s="27" t="s">
        <v>22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16.5" thickTop="1" thickBot="1" x14ac:dyDescent="0.4">
      <c r="A18" s="24" t="s">
        <v>23</v>
      </c>
      <c r="B18" s="15" t="s">
        <v>24</v>
      </c>
      <c r="C18" s="18" t="s">
        <v>25</v>
      </c>
    </row>
    <row r="19" spans="1:69" ht="16.5" thickTop="1" thickBot="1" x14ac:dyDescent="0.4">
      <c r="A19" s="9"/>
      <c r="B19" s="15" t="s">
        <v>26</v>
      </c>
      <c r="C19" s="18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16.5" thickTop="1" thickBot="1" x14ac:dyDescent="0.4">
      <c r="A20" s="6"/>
      <c r="B20" s="15" t="s">
        <v>24</v>
      </c>
      <c r="C20" s="17"/>
    </row>
    <row r="21" spans="1:69" ht="16.5" thickTop="1" thickBot="1" x14ac:dyDescent="0.4">
      <c r="A21" s="6"/>
      <c r="B21" s="15" t="s">
        <v>26</v>
      </c>
      <c r="C21" s="17"/>
    </row>
    <row r="22" spans="1:69" ht="16.5" thickTop="1" thickBot="1" x14ac:dyDescent="0.4">
      <c r="A22" s="6"/>
      <c r="B22" s="15" t="s">
        <v>24</v>
      </c>
      <c r="C22" s="17"/>
    </row>
    <row r="23" spans="1:69" ht="16.5" thickTop="1" thickBot="1" x14ac:dyDescent="0.4">
      <c r="A23" s="10"/>
      <c r="B23" s="15" t="s">
        <v>26</v>
      </c>
      <c r="C23" s="17"/>
    </row>
    <row r="24" spans="1:69" ht="16.5" thickTop="1" thickBot="1" x14ac:dyDescent="0.4">
      <c r="A24" s="25"/>
      <c r="B24" s="23" t="s">
        <v>27</v>
      </c>
      <c r="C24" s="29">
        <v>2.5</v>
      </c>
    </row>
    <row r="25" spans="1:69" ht="16.5" thickTop="1" thickBot="1" x14ac:dyDescent="0.4">
      <c r="A25" s="28"/>
      <c r="B25" s="15" t="s">
        <v>28</v>
      </c>
      <c r="C25" s="30"/>
      <c r="D25" s="30"/>
      <c r="E25" s="30"/>
      <c r="F25" s="30"/>
    </row>
    <row r="26" spans="1:69" ht="16.5" thickTop="1" thickBot="1" x14ac:dyDescent="0.4">
      <c r="A26" s="4"/>
      <c r="B26" s="15" t="s">
        <v>29</v>
      </c>
      <c r="C26" s="31" t="s">
        <v>30</v>
      </c>
    </row>
    <row r="27" spans="1:69" ht="15" thickTop="1" x14ac:dyDescent="0.35">
      <c r="C27" s="32" t="s">
        <v>31</v>
      </c>
    </row>
    <row r="28" spans="1:69" x14ac:dyDescent="0.35">
      <c r="C28" s="32" t="s">
        <v>32</v>
      </c>
    </row>
    <row r="29" spans="1:69" x14ac:dyDescent="0.35">
      <c r="C29" s="32" t="s">
        <v>33</v>
      </c>
    </row>
    <row r="30" spans="1:69" x14ac:dyDescent="0.35">
      <c r="C30" s="32" t="s">
        <v>34</v>
      </c>
    </row>
    <row r="31" spans="1:69" x14ac:dyDescent="0.35">
      <c r="C31" s="32" t="s">
        <v>35</v>
      </c>
    </row>
    <row r="32" spans="1:69" x14ac:dyDescent="0.35">
      <c r="C32" s="32"/>
    </row>
    <row r="33" spans="3:3" x14ac:dyDescent="0.35">
      <c r="C33" s="32"/>
    </row>
    <row r="34" spans="3:3" x14ac:dyDescent="0.35">
      <c r="C34" s="32"/>
    </row>
    <row r="35" spans="3:3" x14ac:dyDescent="0.35">
      <c r="C35" s="32"/>
    </row>
    <row r="36" spans="3:3" x14ac:dyDescent="0.35">
      <c r="C36" s="32"/>
    </row>
    <row r="37" spans="3:3" ht="15" thickBot="1" x14ac:dyDescent="0.4">
      <c r="C37" s="33"/>
    </row>
  </sheetData>
  <dataValidations count="2">
    <dataValidation type="list" allowBlank="1" showInputMessage="1" showErrorMessage="1" sqref="C18 C20 C22" xr:uid="{00000000-0002-0000-0000-000000000000}">
      <formula1>LookupNames</formula1>
    </dataValidation>
    <dataValidation allowBlank="1" showInputMessage="1" showErrorMessage="1" errorTitle="Not a valid date" error="Please ented date as:_x000a__x000a_dd.mm.yyyy (e.g. 24.01.2019)" sqref="C1:C4" xr:uid="{00000000-0002-0000-0000-000001000000}"/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Lists!$A$2:$A$5</xm:f>
          </x14:formula1>
          <xm:sqref>C16</xm:sqref>
        </x14:dataValidation>
        <x14:dataValidation type="list" allowBlank="1" showInputMessage="1" showErrorMessage="1" xr:uid="{00000000-0002-0000-0000-000003000000}">
          <x14:formula1>
            <xm:f>Lists!$C$2:$C$5</xm:f>
          </x14:formula1>
          <xm:sqref>C17</xm:sqref>
        </x14:dataValidation>
        <x14:dataValidation type="list" allowBlank="1" showInputMessage="1" showErrorMessage="1" xr:uid="{00000000-0002-0000-0000-000004000000}">
          <x14:formula1>
            <xm:f>Lists!$E$2:$E$4</xm:f>
          </x14:formula1>
          <xm:sqref>C14</xm:sqref>
        </x14:dataValidation>
        <x14:dataValidation type="list" allowBlank="1" showInputMessage="1" showErrorMessage="1" xr:uid="{00000000-0002-0000-0000-000005000000}">
          <x14:formula1>
            <xm:f>Lists!$B$2:$B$5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"/>
  <sheetViews>
    <sheetView tabSelected="1" workbookViewId="0">
      <selection activeCell="I6" sqref="I6"/>
    </sheetView>
  </sheetViews>
  <sheetFormatPr defaultColWidth="8.81640625" defaultRowHeight="14.5" x14ac:dyDescent="0.35"/>
  <cols>
    <col min="1" max="1" width="14.26953125" bestFit="1" customWidth="1"/>
    <col min="2" max="2" width="15.1796875" bestFit="1" customWidth="1"/>
    <col min="3" max="3" width="17.54296875" bestFit="1" customWidth="1"/>
    <col min="5" max="5" width="47.54296875" bestFit="1" customWidth="1"/>
    <col min="7" max="7" width="25.7265625" bestFit="1" customWidth="1"/>
    <col min="8" max="8" width="22.7265625" customWidth="1"/>
    <col min="9" max="9" width="38.1796875" customWidth="1"/>
  </cols>
  <sheetData>
    <row r="1" spans="1:9" ht="15" thickBot="1" x14ac:dyDescent="0.4">
      <c r="A1" s="2" t="s">
        <v>19</v>
      </c>
      <c r="B1" s="2" t="s">
        <v>36</v>
      </c>
      <c r="C1" s="2" t="s">
        <v>21</v>
      </c>
      <c r="E1" s="2" t="s">
        <v>15</v>
      </c>
      <c r="G1" s="14" t="s">
        <v>37</v>
      </c>
      <c r="H1" s="14" t="s">
        <v>38</v>
      </c>
      <c r="I1" s="14" t="s">
        <v>39</v>
      </c>
    </row>
    <row r="2" spans="1:9" x14ac:dyDescent="0.35">
      <c r="A2" s="1" t="s">
        <v>20</v>
      </c>
      <c r="B2" s="26" t="s">
        <v>18</v>
      </c>
      <c r="C2" s="1" t="s">
        <v>40</v>
      </c>
      <c r="E2" s="11" t="s">
        <v>41</v>
      </c>
      <c r="G2" t="s">
        <v>42</v>
      </c>
      <c r="I2" t="str">
        <f>G2 &amp; " (" &amp; H2 &amp; ")"</f>
        <v>NO NATURAL REGENERATION ()</v>
      </c>
    </row>
    <row r="3" spans="1:9" x14ac:dyDescent="0.35">
      <c r="A3" s="1" t="s">
        <v>43</v>
      </c>
      <c r="B3" s="26" t="s">
        <v>44</v>
      </c>
      <c r="C3" s="1" t="s">
        <v>22</v>
      </c>
      <c r="E3" s="12" t="s">
        <v>45</v>
      </c>
      <c r="G3" t="s">
        <v>46</v>
      </c>
      <c r="H3" t="s">
        <v>47</v>
      </c>
      <c r="I3" t="str">
        <f t="shared" ref="I3" si="0">G3 &amp; " (" &amp; H3 &amp; ")"</f>
        <v>Swietenia macrophylla (Caoba)</v>
      </c>
    </row>
    <row r="4" spans="1:9" ht="15" thickBot="1" x14ac:dyDescent="0.4">
      <c r="A4" s="1" t="s">
        <v>48</v>
      </c>
      <c r="B4" s="26" t="s">
        <v>49</v>
      </c>
      <c r="C4" s="1" t="s">
        <v>50</v>
      </c>
      <c r="E4" s="13" t="s">
        <v>16</v>
      </c>
      <c r="G4" t="s">
        <v>51</v>
      </c>
      <c r="H4" t="s">
        <v>52</v>
      </c>
      <c r="I4" t="str">
        <f>G4 &amp; " (" &amp; H4 &amp; ")"</f>
        <v>Lonchocarpus castilloi (Machich)</v>
      </c>
    </row>
    <row r="5" spans="1:9" x14ac:dyDescent="0.35">
      <c r="A5" s="1" t="s">
        <v>53</v>
      </c>
      <c r="B5" s="26" t="s">
        <v>54</v>
      </c>
      <c r="C5" s="1" t="s">
        <v>53</v>
      </c>
      <c r="G5" t="s">
        <v>55</v>
      </c>
      <c r="H5" t="s">
        <v>56</v>
      </c>
      <c r="I5" t="str">
        <f>G5 &amp; " (" &amp; H5 &amp; ")"</f>
        <v>Cedrela odorata (Cedro)</v>
      </c>
    </row>
    <row r="6" spans="1:9" x14ac:dyDescent="0.35">
      <c r="H6" t="s">
        <v>57</v>
      </c>
      <c r="I6" t="str">
        <f>G6 &amp; " (" &amp; H6 &amp; ")"</f>
        <v xml:space="preserve"> (Worrywood)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C91568-DC72-4275-BC43-3B120A1E1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2B4D45-DAFA-4B0C-9465-26737F60DA0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633DFB-5A1A-4BE4-9715-0F8A91C67E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Gap</vt:lpstr>
      <vt:lpstr>Lists</vt:lpstr>
      <vt:lpstr>LookupNames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