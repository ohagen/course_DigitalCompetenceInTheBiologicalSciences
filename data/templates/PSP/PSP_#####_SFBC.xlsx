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C:\Users\ohagen\Dropbox\BelizeZiviMission2019\Mission\Management Plan\PSP Data Colection\PSP\templates\"/>
    </mc:Choice>
  </mc:AlternateContent>
  <bookViews>
    <workbookView xWindow="0" yWindow="0" windowWidth="13660" windowHeight="3180" activeTab="1"/>
  </bookViews>
  <sheets>
    <sheet name="PSP Data" sheetId="3" r:id="rId1"/>
    <sheet name="Analysis" sheetId="4" r:id="rId2"/>
    <sheet name="Lists" sheetId="2" r:id="rId3"/>
  </sheets>
  <definedNames>
    <definedName name="_xlchart.v1.0" hidden="1">Analysis!$J$21:$J$900</definedName>
    <definedName name="_xlchart.v1.1" hidden="1">Analysis!$K$21:$K$900</definedName>
    <definedName name="_xlchart.v1.2" hidden="1">Analysis!$K$21:$K$900</definedName>
    <definedName name="Binary">Table6[Binary]</definedName>
    <definedName name="Dead_Wood_Classes">DWC[Dead Wood Classes]</definedName>
    <definedName name="LookupNames">Table1[Lookup name]</definedName>
    <definedName name="Tree_Category">TreeCategory[[#Headers],[Tree Category]]</definedName>
    <definedName name="TreeCat">TreeCategory[Tree Category]</definedName>
  </definedNames>
  <calcPr calcId="162913"/>
  <pivotCaches>
    <pivotCache cacheId="0" r:id="rId4"/>
    <pivotCache cacheId="1" r:id="rId5"/>
  </pivotCaches>
</workbook>
</file>

<file path=xl/calcChain.xml><?xml version="1.0" encoding="utf-8"?>
<calcChain xmlns="http://schemas.openxmlformats.org/spreadsheetml/2006/main">
  <c r="C115" i="2" l="1"/>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Q900" i="4"/>
  <c r="P900" i="4"/>
  <c r="O900" i="4"/>
  <c r="N900" i="4"/>
  <c r="L900" i="4"/>
  <c r="K900" i="4"/>
  <c r="J900" i="4"/>
  <c r="I900" i="4"/>
  <c r="H900" i="4"/>
  <c r="G900" i="4"/>
  <c r="F900" i="4"/>
  <c r="E900" i="4"/>
  <c r="D900" i="4"/>
  <c r="C900" i="4"/>
  <c r="B900" i="4"/>
  <c r="A900" i="4"/>
  <c r="Q899" i="4"/>
  <c r="P899" i="4"/>
  <c r="O899" i="4"/>
  <c r="N899" i="4"/>
  <c r="L899" i="4"/>
  <c r="K899" i="4"/>
  <c r="J899" i="4"/>
  <c r="I899" i="4"/>
  <c r="H899" i="4"/>
  <c r="G899" i="4"/>
  <c r="F899" i="4"/>
  <c r="E899" i="4"/>
  <c r="D899" i="4"/>
  <c r="C899" i="4"/>
  <c r="B899" i="4"/>
  <c r="A899" i="4"/>
  <c r="Q898" i="4"/>
  <c r="P898" i="4"/>
  <c r="O898" i="4"/>
  <c r="N898" i="4"/>
  <c r="L898" i="4"/>
  <c r="K898" i="4"/>
  <c r="J898" i="4"/>
  <c r="I898" i="4"/>
  <c r="H898" i="4"/>
  <c r="G898" i="4"/>
  <c r="F898" i="4"/>
  <c r="E898" i="4"/>
  <c r="D898" i="4"/>
  <c r="C898" i="4"/>
  <c r="B898" i="4"/>
  <c r="A898" i="4"/>
  <c r="Q897" i="4"/>
  <c r="P897" i="4"/>
  <c r="O897" i="4"/>
  <c r="N897" i="4"/>
  <c r="L897" i="4"/>
  <c r="K897" i="4"/>
  <c r="J897" i="4"/>
  <c r="I897" i="4"/>
  <c r="H897" i="4"/>
  <c r="G897" i="4"/>
  <c r="F897" i="4"/>
  <c r="E897" i="4"/>
  <c r="D897" i="4"/>
  <c r="C897" i="4"/>
  <c r="B897" i="4"/>
  <c r="A897" i="4"/>
  <c r="Q896" i="4"/>
  <c r="P896" i="4"/>
  <c r="O896" i="4"/>
  <c r="N896" i="4"/>
  <c r="L896" i="4"/>
  <c r="K896" i="4"/>
  <c r="J896" i="4"/>
  <c r="I896" i="4"/>
  <c r="H896" i="4"/>
  <c r="G896" i="4"/>
  <c r="F896" i="4"/>
  <c r="E896" i="4"/>
  <c r="D896" i="4"/>
  <c r="C896" i="4"/>
  <c r="B896" i="4"/>
  <c r="A896" i="4"/>
  <c r="Q895" i="4"/>
  <c r="P895" i="4"/>
  <c r="O895" i="4"/>
  <c r="N895" i="4"/>
  <c r="L895" i="4"/>
  <c r="K895" i="4"/>
  <c r="J895" i="4"/>
  <c r="I895" i="4"/>
  <c r="H895" i="4"/>
  <c r="G895" i="4"/>
  <c r="F895" i="4"/>
  <c r="E895" i="4"/>
  <c r="D895" i="4"/>
  <c r="C895" i="4"/>
  <c r="B895" i="4"/>
  <c r="A895" i="4"/>
  <c r="Q894" i="4"/>
  <c r="P894" i="4"/>
  <c r="O894" i="4"/>
  <c r="N894" i="4"/>
  <c r="L894" i="4"/>
  <c r="K894" i="4"/>
  <c r="J894" i="4"/>
  <c r="I894" i="4"/>
  <c r="H894" i="4"/>
  <c r="G894" i="4"/>
  <c r="F894" i="4"/>
  <c r="E894" i="4"/>
  <c r="D894" i="4"/>
  <c r="C894" i="4"/>
  <c r="B894" i="4"/>
  <c r="A894" i="4"/>
  <c r="Q893" i="4"/>
  <c r="P893" i="4"/>
  <c r="O893" i="4"/>
  <c r="N893" i="4"/>
  <c r="L893" i="4"/>
  <c r="K893" i="4"/>
  <c r="J893" i="4"/>
  <c r="I893" i="4"/>
  <c r="H893" i="4"/>
  <c r="G893" i="4"/>
  <c r="F893" i="4"/>
  <c r="E893" i="4"/>
  <c r="D893" i="4"/>
  <c r="C893" i="4"/>
  <c r="B893" i="4"/>
  <c r="A893" i="4"/>
  <c r="Q892" i="4"/>
  <c r="P892" i="4"/>
  <c r="O892" i="4"/>
  <c r="N892" i="4"/>
  <c r="L892" i="4"/>
  <c r="K892" i="4"/>
  <c r="J892" i="4"/>
  <c r="I892" i="4"/>
  <c r="H892" i="4"/>
  <c r="G892" i="4"/>
  <c r="F892" i="4"/>
  <c r="E892" i="4"/>
  <c r="D892" i="4"/>
  <c r="C892" i="4"/>
  <c r="B892" i="4"/>
  <c r="A892" i="4"/>
  <c r="Q891" i="4"/>
  <c r="P891" i="4"/>
  <c r="O891" i="4"/>
  <c r="N891" i="4"/>
  <c r="L891" i="4"/>
  <c r="K891" i="4"/>
  <c r="J891" i="4"/>
  <c r="I891" i="4"/>
  <c r="H891" i="4"/>
  <c r="G891" i="4"/>
  <c r="F891" i="4"/>
  <c r="E891" i="4"/>
  <c r="D891" i="4"/>
  <c r="C891" i="4"/>
  <c r="B891" i="4"/>
  <c r="A891" i="4"/>
  <c r="Q890" i="4"/>
  <c r="P890" i="4"/>
  <c r="O890" i="4"/>
  <c r="N890" i="4"/>
  <c r="L890" i="4"/>
  <c r="K890" i="4"/>
  <c r="J890" i="4"/>
  <c r="I890" i="4"/>
  <c r="H890" i="4"/>
  <c r="G890" i="4"/>
  <c r="F890" i="4"/>
  <c r="E890" i="4"/>
  <c r="D890" i="4"/>
  <c r="C890" i="4"/>
  <c r="B890" i="4"/>
  <c r="A890" i="4"/>
  <c r="Q889" i="4"/>
  <c r="P889" i="4"/>
  <c r="O889" i="4"/>
  <c r="N889" i="4"/>
  <c r="L889" i="4"/>
  <c r="K889" i="4"/>
  <c r="J889" i="4"/>
  <c r="I889" i="4"/>
  <c r="H889" i="4"/>
  <c r="G889" i="4"/>
  <c r="F889" i="4"/>
  <c r="E889" i="4"/>
  <c r="D889" i="4"/>
  <c r="C889" i="4"/>
  <c r="B889" i="4"/>
  <c r="A889" i="4"/>
  <c r="Q888" i="4"/>
  <c r="P888" i="4"/>
  <c r="O888" i="4"/>
  <c r="N888" i="4"/>
  <c r="L888" i="4"/>
  <c r="K888" i="4"/>
  <c r="J888" i="4"/>
  <c r="I888" i="4"/>
  <c r="H888" i="4"/>
  <c r="G888" i="4"/>
  <c r="F888" i="4"/>
  <c r="E888" i="4"/>
  <c r="D888" i="4"/>
  <c r="C888" i="4"/>
  <c r="B888" i="4"/>
  <c r="A888" i="4"/>
  <c r="Q887" i="4"/>
  <c r="P887" i="4"/>
  <c r="O887" i="4"/>
  <c r="N887" i="4"/>
  <c r="L887" i="4"/>
  <c r="K887" i="4"/>
  <c r="J887" i="4"/>
  <c r="I887" i="4"/>
  <c r="H887" i="4"/>
  <c r="G887" i="4"/>
  <c r="F887" i="4"/>
  <c r="E887" i="4"/>
  <c r="D887" i="4"/>
  <c r="C887" i="4"/>
  <c r="B887" i="4"/>
  <c r="A887" i="4"/>
  <c r="Q886" i="4"/>
  <c r="P886" i="4"/>
  <c r="O886" i="4"/>
  <c r="N886" i="4"/>
  <c r="L886" i="4"/>
  <c r="K886" i="4"/>
  <c r="J886" i="4"/>
  <c r="I886" i="4"/>
  <c r="H886" i="4"/>
  <c r="G886" i="4"/>
  <c r="F886" i="4"/>
  <c r="E886" i="4"/>
  <c r="D886" i="4"/>
  <c r="C886" i="4"/>
  <c r="B886" i="4"/>
  <c r="A886" i="4"/>
  <c r="Q885" i="4"/>
  <c r="P885" i="4"/>
  <c r="O885" i="4"/>
  <c r="N885" i="4"/>
  <c r="L885" i="4"/>
  <c r="K885" i="4"/>
  <c r="J885" i="4"/>
  <c r="I885" i="4"/>
  <c r="H885" i="4"/>
  <c r="G885" i="4"/>
  <c r="F885" i="4"/>
  <c r="E885" i="4"/>
  <c r="D885" i="4"/>
  <c r="C885" i="4"/>
  <c r="B885" i="4"/>
  <c r="A885" i="4"/>
  <c r="Q884" i="4"/>
  <c r="P884" i="4"/>
  <c r="O884" i="4"/>
  <c r="N884" i="4"/>
  <c r="L884" i="4"/>
  <c r="K884" i="4"/>
  <c r="J884" i="4"/>
  <c r="I884" i="4"/>
  <c r="H884" i="4"/>
  <c r="G884" i="4"/>
  <c r="F884" i="4"/>
  <c r="E884" i="4"/>
  <c r="D884" i="4"/>
  <c r="C884" i="4"/>
  <c r="B884" i="4"/>
  <c r="A884" i="4"/>
  <c r="Q883" i="4"/>
  <c r="P883" i="4"/>
  <c r="O883" i="4"/>
  <c r="N883" i="4"/>
  <c r="L883" i="4"/>
  <c r="K883" i="4"/>
  <c r="J883" i="4"/>
  <c r="I883" i="4"/>
  <c r="H883" i="4"/>
  <c r="G883" i="4"/>
  <c r="F883" i="4"/>
  <c r="E883" i="4"/>
  <c r="D883" i="4"/>
  <c r="C883" i="4"/>
  <c r="B883" i="4"/>
  <c r="A883" i="4"/>
  <c r="Q882" i="4"/>
  <c r="P882" i="4"/>
  <c r="O882" i="4"/>
  <c r="N882" i="4"/>
  <c r="L882" i="4"/>
  <c r="K882" i="4"/>
  <c r="J882" i="4"/>
  <c r="I882" i="4"/>
  <c r="H882" i="4"/>
  <c r="G882" i="4"/>
  <c r="F882" i="4"/>
  <c r="E882" i="4"/>
  <c r="D882" i="4"/>
  <c r="C882" i="4"/>
  <c r="B882" i="4"/>
  <c r="A882" i="4"/>
  <c r="Q881" i="4"/>
  <c r="P881" i="4"/>
  <c r="O881" i="4"/>
  <c r="N881" i="4"/>
  <c r="L881" i="4"/>
  <c r="K881" i="4"/>
  <c r="J881" i="4"/>
  <c r="I881" i="4"/>
  <c r="H881" i="4"/>
  <c r="G881" i="4"/>
  <c r="F881" i="4"/>
  <c r="E881" i="4"/>
  <c r="D881" i="4"/>
  <c r="C881" i="4"/>
  <c r="B881" i="4"/>
  <c r="A881" i="4"/>
  <c r="Q880" i="4"/>
  <c r="P880" i="4"/>
  <c r="O880" i="4"/>
  <c r="N880" i="4"/>
  <c r="L880" i="4"/>
  <c r="K880" i="4"/>
  <c r="J880" i="4"/>
  <c r="I880" i="4"/>
  <c r="H880" i="4"/>
  <c r="G880" i="4"/>
  <c r="F880" i="4"/>
  <c r="E880" i="4"/>
  <c r="D880" i="4"/>
  <c r="C880" i="4"/>
  <c r="B880" i="4"/>
  <c r="A880" i="4"/>
  <c r="Q879" i="4"/>
  <c r="P879" i="4"/>
  <c r="O879" i="4"/>
  <c r="N879" i="4"/>
  <c r="L879" i="4"/>
  <c r="K879" i="4"/>
  <c r="J879" i="4"/>
  <c r="I879" i="4"/>
  <c r="H879" i="4"/>
  <c r="G879" i="4"/>
  <c r="F879" i="4"/>
  <c r="E879" i="4"/>
  <c r="D879" i="4"/>
  <c r="C879" i="4"/>
  <c r="B879" i="4"/>
  <c r="A879" i="4"/>
  <c r="Q878" i="4"/>
  <c r="P878" i="4"/>
  <c r="O878" i="4"/>
  <c r="N878" i="4"/>
  <c r="L878" i="4"/>
  <c r="K878" i="4"/>
  <c r="J878" i="4"/>
  <c r="I878" i="4"/>
  <c r="H878" i="4"/>
  <c r="G878" i="4"/>
  <c r="F878" i="4"/>
  <c r="E878" i="4"/>
  <c r="D878" i="4"/>
  <c r="C878" i="4"/>
  <c r="B878" i="4"/>
  <c r="A878" i="4"/>
  <c r="Q877" i="4"/>
  <c r="P877" i="4"/>
  <c r="O877" i="4"/>
  <c r="N877" i="4"/>
  <c r="L877" i="4"/>
  <c r="K877" i="4"/>
  <c r="J877" i="4"/>
  <c r="I877" i="4"/>
  <c r="H877" i="4"/>
  <c r="G877" i="4"/>
  <c r="F877" i="4"/>
  <c r="E877" i="4"/>
  <c r="D877" i="4"/>
  <c r="C877" i="4"/>
  <c r="B877" i="4"/>
  <c r="A877" i="4"/>
  <c r="Q876" i="4"/>
  <c r="P876" i="4"/>
  <c r="O876" i="4"/>
  <c r="N876" i="4"/>
  <c r="L876" i="4"/>
  <c r="K876" i="4"/>
  <c r="J876" i="4"/>
  <c r="I876" i="4"/>
  <c r="H876" i="4"/>
  <c r="G876" i="4"/>
  <c r="F876" i="4"/>
  <c r="E876" i="4"/>
  <c r="D876" i="4"/>
  <c r="C876" i="4"/>
  <c r="B876" i="4"/>
  <c r="A876" i="4"/>
  <c r="Q875" i="4"/>
  <c r="P875" i="4"/>
  <c r="O875" i="4"/>
  <c r="N875" i="4"/>
  <c r="L875" i="4"/>
  <c r="K875" i="4"/>
  <c r="J875" i="4"/>
  <c r="I875" i="4"/>
  <c r="H875" i="4"/>
  <c r="G875" i="4"/>
  <c r="F875" i="4"/>
  <c r="E875" i="4"/>
  <c r="D875" i="4"/>
  <c r="C875" i="4"/>
  <c r="B875" i="4"/>
  <c r="A875" i="4"/>
  <c r="Q874" i="4"/>
  <c r="P874" i="4"/>
  <c r="O874" i="4"/>
  <c r="N874" i="4"/>
  <c r="L874" i="4"/>
  <c r="K874" i="4"/>
  <c r="J874" i="4"/>
  <c r="I874" i="4"/>
  <c r="H874" i="4"/>
  <c r="G874" i="4"/>
  <c r="F874" i="4"/>
  <c r="E874" i="4"/>
  <c r="D874" i="4"/>
  <c r="C874" i="4"/>
  <c r="B874" i="4"/>
  <c r="A874" i="4"/>
  <c r="Q873" i="4"/>
  <c r="P873" i="4"/>
  <c r="O873" i="4"/>
  <c r="N873" i="4"/>
  <c r="L873" i="4"/>
  <c r="K873" i="4"/>
  <c r="J873" i="4"/>
  <c r="I873" i="4"/>
  <c r="H873" i="4"/>
  <c r="G873" i="4"/>
  <c r="F873" i="4"/>
  <c r="E873" i="4"/>
  <c r="D873" i="4"/>
  <c r="C873" i="4"/>
  <c r="B873" i="4"/>
  <c r="A873" i="4"/>
  <c r="Q872" i="4"/>
  <c r="P872" i="4"/>
  <c r="O872" i="4"/>
  <c r="N872" i="4"/>
  <c r="L872" i="4"/>
  <c r="K872" i="4"/>
  <c r="J872" i="4"/>
  <c r="I872" i="4"/>
  <c r="H872" i="4"/>
  <c r="G872" i="4"/>
  <c r="F872" i="4"/>
  <c r="E872" i="4"/>
  <c r="D872" i="4"/>
  <c r="C872" i="4"/>
  <c r="B872" i="4"/>
  <c r="A872" i="4"/>
  <c r="Q871" i="4"/>
  <c r="P871" i="4"/>
  <c r="O871" i="4"/>
  <c r="N871" i="4"/>
  <c r="L871" i="4"/>
  <c r="K871" i="4"/>
  <c r="J871" i="4"/>
  <c r="I871" i="4"/>
  <c r="H871" i="4"/>
  <c r="G871" i="4"/>
  <c r="F871" i="4"/>
  <c r="E871" i="4"/>
  <c r="D871" i="4"/>
  <c r="C871" i="4"/>
  <c r="B871" i="4"/>
  <c r="A871" i="4"/>
  <c r="Q870" i="4"/>
  <c r="P870" i="4"/>
  <c r="O870" i="4"/>
  <c r="N870" i="4"/>
  <c r="L870" i="4"/>
  <c r="K870" i="4"/>
  <c r="J870" i="4"/>
  <c r="I870" i="4"/>
  <c r="H870" i="4"/>
  <c r="G870" i="4"/>
  <c r="F870" i="4"/>
  <c r="E870" i="4"/>
  <c r="D870" i="4"/>
  <c r="C870" i="4"/>
  <c r="B870" i="4"/>
  <c r="A870" i="4"/>
  <c r="Q869" i="4"/>
  <c r="P869" i="4"/>
  <c r="O869" i="4"/>
  <c r="N869" i="4"/>
  <c r="L869" i="4"/>
  <c r="K869" i="4"/>
  <c r="J869" i="4"/>
  <c r="I869" i="4"/>
  <c r="H869" i="4"/>
  <c r="G869" i="4"/>
  <c r="F869" i="4"/>
  <c r="E869" i="4"/>
  <c r="D869" i="4"/>
  <c r="C869" i="4"/>
  <c r="B869" i="4"/>
  <c r="A869" i="4"/>
  <c r="Q868" i="4"/>
  <c r="P868" i="4"/>
  <c r="O868" i="4"/>
  <c r="N868" i="4"/>
  <c r="L868" i="4"/>
  <c r="K868" i="4"/>
  <c r="J868" i="4"/>
  <c r="I868" i="4"/>
  <c r="H868" i="4"/>
  <c r="G868" i="4"/>
  <c r="F868" i="4"/>
  <c r="E868" i="4"/>
  <c r="D868" i="4"/>
  <c r="C868" i="4"/>
  <c r="B868" i="4"/>
  <c r="A868" i="4"/>
  <c r="Q867" i="4"/>
  <c r="P867" i="4"/>
  <c r="O867" i="4"/>
  <c r="N867" i="4"/>
  <c r="L867" i="4"/>
  <c r="K867" i="4"/>
  <c r="J867" i="4"/>
  <c r="I867" i="4"/>
  <c r="H867" i="4"/>
  <c r="G867" i="4"/>
  <c r="F867" i="4"/>
  <c r="E867" i="4"/>
  <c r="D867" i="4"/>
  <c r="C867" i="4"/>
  <c r="B867" i="4"/>
  <c r="A867" i="4"/>
  <c r="Q866" i="4"/>
  <c r="P866" i="4"/>
  <c r="O866" i="4"/>
  <c r="N866" i="4"/>
  <c r="L866" i="4"/>
  <c r="K866" i="4"/>
  <c r="J866" i="4"/>
  <c r="I866" i="4"/>
  <c r="H866" i="4"/>
  <c r="G866" i="4"/>
  <c r="F866" i="4"/>
  <c r="E866" i="4"/>
  <c r="D866" i="4"/>
  <c r="C866" i="4"/>
  <c r="B866" i="4"/>
  <c r="A866" i="4"/>
  <c r="Q865" i="4"/>
  <c r="P865" i="4"/>
  <c r="O865" i="4"/>
  <c r="N865" i="4"/>
  <c r="L865" i="4"/>
  <c r="K865" i="4"/>
  <c r="J865" i="4"/>
  <c r="I865" i="4"/>
  <c r="H865" i="4"/>
  <c r="G865" i="4"/>
  <c r="F865" i="4"/>
  <c r="E865" i="4"/>
  <c r="D865" i="4"/>
  <c r="C865" i="4"/>
  <c r="B865" i="4"/>
  <c r="A865" i="4"/>
  <c r="Q864" i="4"/>
  <c r="P864" i="4"/>
  <c r="O864" i="4"/>
  <c r="N864" i="4"/>
  <c r="L864" i="4"/>
  <c r="K864" i="4"/>
  <c r="J864" i="4"/>
  <c r="I864" i="4"/>
  <c r="H864" i="4"/>
  <c r="G864" i="4"/>
  <c r="F864" i="4"/>
  <c r="E864" i="4"/>
  <c r="D864" i="4"/>
  <c r="C864" i="4"/>
  <c r="B864" i="4"/>
  <c r="A864" i="4"/>
  <c r="Q863" i="4"/>
  <c r="P863" i="4"/>
  <c r="O863" i="4"/>
  <c r="N863" i="4"/>
  <c r="L863" i="4"/>
  <c r="K863" i="4"/>
  <c r="J863" i="4"/>
  <c r="I863" i="4"/>
  <c r="H863" i="4"/>
  <c r="G863" i="4"/>
  <c r="F863" i="4"/>
  <c r="E863" i="4"/>
  <c r="D863" i="4"/>
  <c r="C863" i="4"/>
  <c r="B863" i="4"/>
  <c r="A863" i="4"/>
  <c r="Q862" i="4"/>
  <c r="P862" i="4"/>
  <c r="O862" i="4"/>
  <c r="N862" i="4"/>
  <c r="L862" i="4"/>
  <c r="K862" i="4"/>
  <c r="J862" i="4"/>
  <c r="I862" i="4"/>
  <c r="H862" i="4"/>
  <c r="G862" i="4"/>
  <c r="F862" i="4"/>
  <c r="E862" i="4"/>
  <c r="D862" i="4"/>
  <c r="C862" i="4"/>
  <c r="B862" i="4"/>
  <c r="A862" i="4"/>
  <c r="Q861" i="4"/>
  <c r="P861" i="4"/>
  <c r="O861" i="4"/>
  <c r="N861" i="4"/>
  <c r="L861" i="4"/>
  <c r="K861" i="4"/>
  <c r="J861" i="4"/>
  <c r="I861" i="4"/>
  <c r="H861" i="4"/>
  <c r="G861" i="4"/>
  <c r="F861" i="4"/>
  <c r="E861" i="4"/>
  <c r="D861" i="4"/>
  <c r="C861" i="4"/>
  <c r="B861" i="4"/>
  <c r="A861" i="4"/>
  <c r="Q860" i="4"/>
  <c r="P860" i="4"/>
  <c r="O860" i="4"/>
  <c r="N860" i="4"/>
  <c r="L860" i="4"/>
  <c r="K860" i="4"/>
  <c r="J860" i="4"/>
  <c r="I860" i="4"/>
  <c r="H860" i="4"/>
  <c r="G860" i="4"/>
  <c r="F860" i="4"/>
  <c r="E860" i="4"/>
  <c r="D860" i="4"/>
  <c r="C860" i="4"/>
  <c r="B860" i="4"/>
  <c r="A860" i="4"/>
  <c r="Q859" i="4"/>
  <c r="P859" i="4"/>
  <c r="O859" i="4"/>
  <c r="N859" i="4"/>
  <c r="L859" i="4"/>
  <c r="K859" i="4"/>
  <c r="J859" i="4"/>
  <c r="I859" i="4"/>
  <c r="H859" i="4"/>
  <c r="G859" i="4"/>
  <c r="F859" i="4"/>
  <c r="E859" i="4"/>
  <c r="D859" i="4"/>
  <c r="C859" i="4"/>
  <c r="B859" i="4"/>
  <c r="A859" i="4"/>
  <c r="Q858" i="4"/>
  <c r="P858" i="4"/>
  <c r="O858" i="4"/>
  <c r="N858" i="4"/>
  <c r="L858" i="4"/>
  <c r="K858" i="4"/>
  <c r="J858" i="4"/>
  <c r="I858" i="4"/>
  <c r="H858" i="4"/>
  <c r="G858" i="4"/>
  <c r="F858" i="4"/>
  <c r="E858" i="4"/>
  <c r="D858" i="4"/>
  <c r="C858" i="4"/>
  <c r="B858" i="4"/>
  <c r="A858" i="4"/>
  <c r="Q857" i="4"/>
  <c r="P857" i="4"/>
  <c r="O857" i="4"/>
  <c r="N857" i="4"/>
  <c r="L857" i="4"/>
  <c r="K857" i="4"/>
  <c r="J857" i="4"/>
  <c r="I857" i="4"/>
  <c r="H857" i="4"/>
  <c r="G857" i="4"/>
  <c r="F857" i="4"/>
  <c r="E857" i="4"/>
  <c r="D857" i="4"/>
  <c r="C857" i="4"/>
  <c r="B857" i="4"/>
  <c r="A857" i="4"/>
  <c r="Q856" i="4"/>
  <c r="P856" i="4"/>
  <c r="O856" i="4"/>
  <c r="N856" i="4"/>
  <c r="L856" i="4"/>
  <c r="K856" i="4"/>
  <c r="J856" i="4"/>
  <c r="I856" i="4"/>
  <c r="H856" i="4"/>
  <c r="G856" i="4"/>
  <c r="F856" i="4"/>
  <c r="E856" i="4"/>
  <c r="D856" i="4"/>
  <c r="C856" i="4"/>
  <c r="B856" i="4"/>
  <c r="A856" i="4"/>
  <c r="Q855" i="4"/>
  <c r="P855" i="4"/>
  <c r="O855" i="4"/>
  <c r="N855" i="4"/>
  <c r="L855" i="4"/>
  <c r="K855" i="4"/>
  <c r="J855" i="4"/>
  <c r="I855" i="4"/>
  <c r="H855" i="4"/>
  <c r="G855" i="4"/>
  <c r="F855" i="4"/>
  <c r="E855" i="4"/>
  <c r="D855" i="4"/>
  <c r="C855" i="4"/>
  <c r="B855" i="4"/>
  <c r="A855" i="4"/>
  <c r="Q854" i="4"/>
  <c r="P854" i="4"/>
  <c r="O854" i="4"/>
  <c r="N854" i="4"/>
  <c r="L854" i="4"/>
  <c r="K854" i="4"/>
  <c r="J854" i="4"/>
  <c r="I854" i="4"/>
  <c r="H854" i="4"/>
  <c r="G854" i="4"/>
  <c r="F854" i="4"/>
  <c r="E854" i="4"/>
  <c r="D854" i="4"/>
  <c r="C854" i="4"/>
  <c r="B854" i="4"/>
  <c r="A854" i="4"/>
  <c r="Q853" i="4"/>
  <c r="P853" i="4"/>
  <c r="O853" i="4"/>
  <c r="N853" i="4"/>
  <c r="L853" i="4"/>
  <c r="K853" i="4"/>
  <c r="J853" i="4"/>
  <c r="I853" i="4"/>
  <c r="H853" i="4"/>
  <c r="G853" i="4"/>
  <c r="F853" i="4"/>
  <c r="E853" i="4"/>
  <c r="D853" i="4"/>
  <c r="C853" i="4"/>
  <c r="B853" i="4"/>
  <c r="A853" i="4"/>
  <c r="Q852" i="4"/>
  <c r="P852" i="4"/>
  <c r="O852" i="4"/>
  <c r="N852" i="4"/>
  <c r="L852" i="4"/>
  <c r="K852" i="4"/>
  <c r="J852" i="4"/>
  <c r="I852" i="4"/>
  <c r="H852" i="4"/>
  <c r="G852" i="4"/>
  <c r="F852" i="4"/>
  <c r="E852" i="4"/>
  <c r="D852" i="4"/>
  <c r="C852" i="4"/>
  <c r="B852" i="4"/>
  <c r="A852" i="4"/>
  <c r="Q851" i="4"/>
  <c r="P851" i="4"/>
  <c r="O851" i="4"/>
  <c r="N851" i="4"/>
  <c r="L851" i="4"/>
  <c r="K851" i="4"/>
  <c r="J851" i="4"/>
  <c r="I851" i="4"/>
  <c r="H851" i="4"/>
  <c r="G851" i="4"/>
  <c r="F851" i="4"/>
  <c r="E851" i="4"/>
  <c r="D851" i="4"/>
  <c r="C851" i="4"/>
  <c r="B851" i="4"/>
  <c r="A851" i="4"/>
  <c r="Q850" i="4"/>
  <c r="P850" i="4"/>
  <c r="O850" i="4"/>
  <c r="N850" i="4"/>
  <c r="L850" i="4"/>
  <c r="K850" i="4"/>
  <c r="J850" i="4"/>
  <c r="I850" i="4"/>
  <c r="H850" i="4"/>
  <c r="G850" i="4"/>
  <c r="F850" i="4"/>
  <c r="E850" i="4"/>
  <c r="D850" i="4"/>
  <c r="C850" i="4"/>
  <c r="B850" i="4"/>
  <c r="A850" i="4"/>
  <c r="Q849" i="4"/>
  <c r="P849" i="4"/>
  <c r="O849" i="4"/>
  <c r="N849" i="4"/>
  <c r="L849" i="4"/>
  <c r="K849" i="4"/>
  <c r="J849" i="4"/>
  <c r="I849" i="4"/>
  <c r="H849" i="4"/>
  <c r="G849" i="4"/>
  <c r="F849" i="4"/>
  <c r="E849" i="4"/>
  <c r="D849" i="4"/>
  <c r="C849" i="4"/>
  <c r="B849" i="4"/>
  <c r="A849" i="4"/>
  <c r="Q848" i="4"/>
  <c r="P848" i="4"/>
  <c r="O848" i="4"/>
  <c r="N848" i="4"/>
  <c r="L848" i="4"/>
  <c r="K848" i="4"/>
  <c r="J848" i="4"/>
  <c r="I848" i="4"/>
  <c r="H848" i="4"/>
  <c r="G848" i="4"/>
  <c r="F848" i="4"/>
  <c r="E848" i="4"/>
  <c r="D848" i="4"/>
  <c r="C848" i="4"/>
  <c r="B848" i="4"/>
  <c r="A848" i="4"/>
  <c r="Q847" i="4"/>
  <c r="P847" i="4"/>
  <c r="O847" i="4"/>
  <c r="N847" i="4"/>
  <c r="L847" i="4"/>
  <c r="K847" i="4"/>
  <c r="J847" i="4"/>
  <c r="I847" i="4"/>
  <c r="H847" i="4"/>
  <c r="G847" i="4"/>
  <c r="F847" i="4"/>
  <c r="E847" i="4"/>
  <c r="D847" i="4"/>
  <c r="C847" i="4"/>
  <c r="B847" i="4"/>
  <c r="A847" i="4"/>
  <c r="Q846" i="4"/>
  <c r="P846" i="4"/>
  <c r="O846" i="4"/>
  <c r="N846" i="4"/>
  <c r="L846" i="4"/>
  <c r="K846" i="4"/>
  <c r="J846" i="4"/>
  <c r="I846" i="4"/>
  <c r="H846" i="4"/>
  <c r="G846" i="4"/>
  <c r="F846" i="4"/>
  <c r="E846" i="4"/>
  <c r="D846" i="4"/>
  <c r="C846" i="4"/>
  <c r="B846" i="4"/>
  <c r="A846" i="4"/>
  <c r="Q845" i="4"/>
  <c r="P845" i="4"/>
  <c r="O845" i="4"/>
  <c r="N845" i="4"/>
  <c r="L845" i="4"/>
  <c r="K845" i="4"/>
  <c r="J845" i="4"/>
  <c r="I845" i="4"/>
  <c r="H845" i="4"/>
  <c r="G845" i="4"/>
  <c r="F845" i="4"/>
  <c r="E845" i="4"/>
  <c r="D845" i="4"/>
  <c r="C845" i="4"/>
  <c r="B845" i="4"/>
  <c r="A845" i="4"/>
  <c r="Q844" i="4"/>
  <c r="P844" i="4"/>
  <c r="O844" i="4"/>
  <c r="N844" i="4"/>
  <c r="L844" i="4"/>
  <c r="K844" i="4"/>
  <c r="J844" i="4"/>
  <c r="I844" i="4"/>
  <c r="H844" i="4"/>
  <c r="G844" i="4"/>
  <c r="F844" i="4"/>
  <c r="E844" i="4"/>
  <c r="D844" i="4"/>
  <c r="C844" i="4"/>
  <c r="B844" i="4"/>
  <c r="A844" i="4"/>
  <c r="Q843" i="4"/>
  <c r="P843" i="4"/>
  <c r="O843" i="4"/>
  <c r="N843" i="4"/>
  <c r="L843" i="4"/>
  <c r="K843" i="4"/>
  <c r="J843" i="4"/>
  <c r="I843" i="4"/>
  <c r="H843" i="4"/>
  <c r="G843" i="4"/>
  <c r="F843" i="4"/>
  <c r="E843" i="4"/>
  <c r="D843" i="4"/>
  <c r="C843" i="4"/>
  <c r="B843" i="4"/>
  <c r="A843" i="4"/>
  <c r="Q842" i="4"/>
  <c r="P842" i="4"/>
  <c r="O842" i="4"/>
  <c r="N842" i="4"/>
  <c r="L842" i="4"/>
  <c r="K842" i="4"/>
  <c r="J842" i="4"/>
  <c r="I842" i="4"/>
  <c r="H842" i="4"/>
  <c r="G842" i="4"/>
  <c r="F842" i="4"/>
  <c r="E842" i="4"/>
  <c r="D842" i="4"/>
  <c r="C842" i="4"/>
  <c r="B842" i="4"/>
  <c r="A842" i="4"/>
  <c r="Q841" i="4"/>
  <c r="P841" i="4"/>
  <c r="O841" i="4"/>
  <c r="N841" i="4"/>
  <c r="L841" i="4"/>
  <c r="K841" i="4"/>
  <c r="J841" i="4"/>
  <c r="I841" i="4"/>
  <c r="H841" i="4"/>
  <c r="G841" i="4"/>
  <c r="F841" i="4"/>
  <c r="E841" i="4"/>
  <c r="D841" i="4"/>
  <c r="C841" i="4"/>
  <c r="B841" i="4"/>
  <c r="A841" i="4"/>
  <c r="Q840" i="4"/>
  <c r="P840" i="4"/>
  <c r="O840" i="4"/>
  <c r="N840" i="4"/>
  <c r="L840" i="4"/>
  <c r="K840" i="4"/>
  <c r="J840" i="4"/>
  <c r="I840" i="4"/>
  <c r="H840" i="4"/>
  <c r="G840" i="4"/>
  <c r="F840" i="4"/>
  <c r="E840" i="4"/>
  <c r="D840" i="4"/>
  <c r="C840" i="4"/>
  <c r="B840" i="4"/>
  <c r="A840" i="4"/>
  <c r="Q839" i="4"/>
  <c r="P839" i="4"/>
  <c r="O839" i="4"/>
  <c r="N839" i="4"/>
  <c r="L839" i="4"/>
  <c r="K839" i="4"/>
  <c r="J839" i="4"/>
  <c r="I839" i="4"/>
  <c r="H839" i="4"/>
  <c r="G839" i="4"/>
  <c r="F839" i="4"/>
  <c r="E839" i="4"/>
  <c r="D839" i="4"/>
  <c r="C839" i="4"/>
  <c r="B839" i="4"/>
  <c r="A839" i="4"/>
  <c r="Q838" i="4"/>
  <c r="P838" i="4"/>
  <c r="O838" i="4"/>
  <c r="N838" i="4"/>
  <c r="L838" i="4"/>
  <c r="K838" i="4"/>
  <c r="J838" i="4"/>
  <c r="I838" i="4"/>
  <c r="H838" i="4"/>
  <c r="G838" i="4"/>
  <c r="F838" i="4"/>
  <c r="E838" i="4"/>
  <c r="D838" i="4"/>
  <c r="C838" i="4"/>
  <c r="B838" i="4"/>
  <c r="A838" i="4"/>
  <c r="Q837" i="4"/>
  <c r="P837" i="4"/>
  <c r="O837" i="4"/>
  <c r="N837" i="4"/>
  <c r="L837" i="4"/>
  <c r="K837" i="4"/>
  <c r="J837" i="4"/>
  <c r="I837" i="4"/>
  <c r="H837" i="4"/>
  <c r="G837" i="4"/>
  <c r="F837" i="4"/>
  <c r="E837" i="4"/>
  <c r="D837" i="4"/>
  <c r="C837" i="4"/>
  <c r="B837" i="4"/>
  <c r="A837" i="4"/>
  <c r="Q836" i="4"/>
  <c r="P836" i="4"/>
  <c r="O836" i="4"/>
  <c r="N836" i="4"/>
  <c r="L836" i="4"/>
  <c r="K836" i="4"/>
  <c r="J836" i="4"/>
  <c r="I836" i="4"/>
  <c r="H836" i="4"/>
  <c r="G836" i="4"/>
  <c r="F836" i="4"/>
  <c r="E836" i="4"/>
  <c r="D836" i="4"/>
  <c r="C836" i="4"/>
  <c r="B836" i="4"/>
  <c r="A836" i="4"/>
  <c r="Q835" i="4"/>
  <c r="P835" i="4"/>
  <c r="O835" i="4"/>
  <c r="N835" i="4"/>
  <c r="L835" i="4"/>
  <c r="K835" i="4"/>
  <c r="J835" i="4"/>
  <c r="I835" i="4"/>
  <c r="H835" i="4"/>
  <c r="G835" i="4"/>
  <c r="F835" i="4"/>
  <c r="E835" i="4"/>
  <c r="D835" i="4"/>
  <c r="C835" i="4"/>
  <c r="B835" i="4"/>
  <c r="A835" i="4"/>
  <c r="Q834" i="4"/>
  <c r="P834" i="4"/>
  <c r="O834" i="4"/>
  <c r="N834" i="4"/>
  <c r="L834" i="4"/>
  <c r="K834" i="4"/>
  <c r="J834" i="4"/>
  <c r="I834" i="4"/>
  <c r="H834" i="4"/>
  <c r="G834" i="4"/>
  <c r="F834" i="4"/>
  <c r="E834" i="4"/>
  <c r="D834" i="4"/>
  <c r="C834" i="4"/>
  <c r="B834" i="4"/>
  <c r="A834" i="4"/>
  <c r="Q833" i="4"/>
  <c r="P833" i="4"/>
  <c r="O833" i="4"/>
  <c r="N833" i="4"/>
  <c r="L833" i="4"/>
  <c r="K833" i="4"/>
  <c r="J833" i="4"/>
  <c r="I833" i="4"/>
  <c r="H833" i="4"/>
  <c r="G833" i="4"/>
  <c r="F833" i="4"/>
  <c r="E833" i="4"/>
  <c r="D833" i="4"/>
  <c r="C833" i="4"/>
  <c r="B833" i="4"/>
  <c r="A833" i="4"/>
  <c r="Q832" i="4"/>
  <c r="P832" i="4"/>
  <c r="O832" i="4"/>
  <c r="N832" i="4"/>
  <c r="L832" i="4"/>
  <c r="K832" i="4"/>
  <c r="J832" i="4"/>
  <c r="I832" i="4"/>
  <c r="H832" i="4"/>
  <c r="G832" i="4"/>
  <c r="F832" i="4"/>
  <c r="E832" i="4"/>
  <c r="D832" i="4"/>
  <c r="C832" i="4"/>
  <c r="B832" i="4"/>
  <c r="A832" i="4"/>
  <c r="Q831" i="4"/>
  <c r="P831" i="4"/>
  <c r="O831" i="4"/>
  <c r="N831" i="4"/>
  <c r="L831" i="4"/>
  <c r="K831" i="4"/>
  <c r="J831" i="4"/>
  <c r="I831" i="4"/>
  <c r="H831" i="4"/>
  <c r="G831" i="4"/>
  <c r="F831" i="4"/>
  <c r="E831" i="4"/>
  <c r="D831" i="4"/>
  <c r="C831" i="4"/>
  <c r="B831" i="4"/>
  <c r="A831" i="4"/>
  <c r="Q830" i="4"/>
  <c r="P830" i="4"/>
  <c r="O830" i="4"/>
  <c r="N830" i="4"/>
  <c r="L830" i="4"/>
  <c r="K830" i="4"/>
  <c r="J830" i="4"/>
  <c r="I830" i="4"/>
  <c r="H830" i="4"/>
  <c r="G830" i="4"/>
  <c r="F830" i="4"/>
  <c r="E830" i="4"/>
  <c r="D830" i="4"/>
  <c r="C830" i="4"/>
  <c r="B830" i="4"/>
  <c r="A830" i="4"/>
  <c r="Q829" i="4"/>
  <c r="P829" i="4"/>
  <c r="O829" i="4"/>
  <c r="N829" i="4"/>
  <c r="L829" i="4"/>
  <c r="K829" i="4"/>
  <c r="J829" i="4"/>
  <c r="I829" i="4"/>
  <c r="H829" i="4"/>
  <c r="G829" i="4"/>
  <c r="F829" i="4"/>
  <c r="E829" i="4"/>
  <c r="D829" i="4"/>
  <c r="C829" i="4"/>
  <c r="B829" i="4"/>
  <c r="A829" i="4"/>
  <c r="Q828" i="4"/>
  <c r="P828" i="4"/>
  <c r="O828" i="4"/>
  <c r="N828" i="4"/>
  <c r="L828" i="4"/>
  <c r="K828" i="4"/>
  <c r="J828" i="4"/>
  <c r="I828" i="4"/>
  <c r="H828" i="4"/>
  <c r="G828" i="4"/>
  <c r="F828" i="4"/>
  <c r="E828" i="4"/>
  <c r="D828" i="4"/>
  <c r="C828" i="4"/>
  <c r="B828" i="4"/>
  <c r="A828" i="4"/>
  <c r="Q827" i="4"/>
  <c r="P827" i="4"/>
  <c r="O827" i="4"/>
  <c r="N827" i="4"/>
  <c r="L827" i="4"/>
  <c r="K827" i="4"/>
  <c r="J827" i="4"/>
  <c r="I827" i="4"/>
  <c r="H827" i="4"/>
  <c r="G827" i="4"/>
  <c r="F827" i="4"/>
  <c r="E827" i="4"/>
  <c r="D827" i="4"/>
  <c r="C827" i="4"/>
  <c r="B827" i="4"/>
  <c r="A827" i="4"/>
  <c r="Q826" i="4"/>
  <c r="P826" i="4"/>
  <c r="O826" i="4"/>
  <c r="N826" i="4"/>
  <c r="L826" i="4"/>
  <c r="K826" i="4"/>
  <c r="J826" i="4"/>
  <c r="I826" i="4"/>
  <c r="H826" i="4"/>
  <c r="G826" i="4"/>
  <c r="F826" i="4"/>
  <c r="E826" i="4"/>
  <c r="D826" i="4"/>
  <c r="C826" i="4"/>
  <c r="B826" i="4"/>
  <c r="A826" i="4"/>
  <c r="Q825" i="4"/>
  <c r="P825" i="4"/>
  <c r="O825" i="4"/>
  <c r="N825" i="4"/>
  <c r="L825" i="4"/>
  <c r="K825" i="4"/>
  <c r="J825" i="4"/>
  <c r="I825" i="4"/>
  <c r="H825" i="4"/>
  <c r="G825" i="4"/>
  <c r="F825" i="4"/>
  <c r="E825" i="4"/>
  <c r="D825" i="4"/>
  <c r="C825" i="4"/>
  <c r="B825" i="4"/>
  <c r="A825" i="4"/>
  <c r="Q824" i="4"/>
  <c r="P824" i="4"/>
  <c r="O824" i="4"/>
  <c r="N824" i="4"/>
  <c r="L824" i="4"/>
  <c r="K824" i="4"/>
  <c r="J824" i="4"/>
  <c r="I824" i="4"/>
  <c r="H824" i="4"/>
  <c r="G824" i="4"/>
  <c r="F824" i="4"/>
  <c r="E824" i="4"/>
  <c r="D824" i="4"/>
  <c r="C824" i="4"/>
  <c r="B824" i="4"/>
  <c r="A824" i="4"/>
  <c r="Q823" i="4"/>
  <c r="P823" i="4"/>
  <c r="O823" i="4"/>
  <c r="N823" i="4"/>
  <c r="L823" i="4"/>
  <c r="K823" i="4"/>
  <c r="J823" i="4"/>
  <c r="I823" i="4"/>
  <c r="H823" i="4"/>
  <c r="G823" i="4"/>
  <c r="F823" i="4"/>
  <c r="E823" i="4"/>
  <c r="D823" i="4"/>
  <c r="C823" i="4"/>
  <c r="B823" i="4"/>
  <c r="A823" i="4"/>
  <c r="Q822" i="4"/>
  <c r="P822" i="4"/>
  <c r="O822" i="4"/>
  <c r="N822" i="4"/>
  <c r="L822" i="4"/>
  <c r="K822" i="4"/>
  <c r="J822" i="4"/>
  <c r="I822" i="4"/>
  <c r="H822" i="4"/>
  <c r="G822" i="4"/>
  <c r="F822" i="4"/>
  <c r="E822" i="4"/>
  <c r="D822" i="4"/>
  <c r="C822" i="4"/>
  <c r="B822" i="4"/>
  <c r="A822" i="4"/>
  <c r="Q821" i="4"/>
  <c r="P821" i="4"/>
  <c r="O821" i="4"/>
  <c r="N821" i="4"/>
  <c r="L821" i="4"/>
  <c r="K821" i="4"/>
  <c r="J821" i="4"/>
  <c r="I821" i="4"/>
  <c r="H821" i="4"/>
  <c r="G821" i="4"/>
  <c r="F821" i="4"/>
  <c r="E821" i="4"/>
  <c r="D821" i="4"/>
  <c r="C821" i="4"/>
  <c r="B821" i="4"/>
  <c r="A821" i="4"/>
  <c r="Q820" i="4"/>
  <c r="P820" i="4"/>
  <c r="O820" i="4"/>
  <c r="N820" i="4"/>
  <c r="L820" i="4"/>
  <c r="K820" i="4"/>
  <c r="J820" i="4"/>
  <c r="I820" i="4"/>
  <c r="H820" i="4"/>
  <c r="G820" i="4"/>
  <c r="F820" i="4"/>
  <c r="E820" i="4"/>
  <c r="D820" i="4"/>
  <c r="C820" i="4"/>
  <c r="B820" i="4"/>
  <c r="A820" i="4"/>
  <c r="Q819" i="4"/>
  <c r="P819" i="4"/>
  <c r="O819" i="4"/>
  <c r="N819" i="4"/>
  <c r="L819" i="4"/>
  <c r="K819" i="4"/>
  <c r="J819" i="4"/>
  <c r="I819" i="4"/>
  <c r="H819" i="4"/>
  <c r="G819" i="4"/>
  <c r="F819" i="4"/>
  <c r="E819" i="4"/>
  <c r="D819" i="4"/>
  <c r="C819" i="4"/>
  <c r="B819" i="4"/>
  <c r="A819" i="4"/>
  <c r="Q818" i="4"/>
  <c r="P818" i="4"/>
  <c r="O818" i="4"/>
  <c r="N818" i="4"/>
  <c r="L818" i="4"/>
  <c r="K818" i="4"/>
  <c r="J818" i="4"/>
  <c r="I818" i="4"/>
  <c r="H818" i="4"/>
  <c r="G818" i="4"/>
  <c r="F818" i="4"/>
  <c r="E818" i="4"/>
  <c r="D818" i="4"/>
  <c r="C818" i="4"/>
  <c r="B818" i="4"/>
  <c r="A818" i="4"/>
  <c r="Q817" i="4"/>
  <c r="P817" i="4"/>
  <c r="O817" i="4"/>
  <c r="N817" i="4"/>
  <c r="L817" i="4"/>
  <c r="K817" i="4"/>
  <c r="J817" i="4"/>
  <c r="I817" i="4"/>
  <c r="H817" i="4"/>
  <c r="G817" i="4"/>
  <c r="F817" i="4"/>
  <c r="E817" i="4"/>
  <c r="D817" i="4"/>
  <c r="C817" i="4"/>
  <c r="B817" i="4"/>
  <c r="A817" i="4"/>
  <c r="Q816" i="4"/>
  <c r="P816" i="4"/>
  <c r="O816" i="4"/>
  <c r="N816" i="4"/>
  <c r="L816" i="4"/>
  <c r="K816" i="4"/>
  <c r="J816" i="4"/>
  <c r="I816" i="4"/>
  <c r="H816" i="4"/>
  <c r="G816" i="4"/>
  <c r="F816" i="4"/>
  <c r="E816" i="4"/>
  <c r="D816" i="4"/>
  <c r="C816" i="4"/>
  <c r="B816" i="4"/>
  <c r="A816" i="4"/>
  <c r="Q815" i="4"/>
  <c r="P815" i="4"/>
  <c r="O815" i="4"/>
  <c r="N815" i="4"/>
  <c r="L815" i="4"/>
  <c r="K815" i="4"/>
  <c r="J815" i="4"/>
  <c r="I815" i="4"/>
  <c r="H815" i="4"/>
  <c r="G815" i="4"/>
  <c r="F815" i="4"/>
  <c r="E815" i="4"/>
  <c r="D815" i="4"/>
  <c r="C815" i="4"/>
  <c r="B815" i="4"/>
  <c r="A815" i="4"/>
  <c r="Q814" i="4"/>
  <c r="P814" i="4"/>
  <c r="O814" i="4"/>
  <c r="N814" i="4"/>
  <c r="L814" i="4"/>
  <c r="K814" i="4"/>
  <c r="J814" i="4"/>
  <c r="I814" i="4"/>
  <c r="H814" i="4"/>
  <c r="G814" i="4"/>
  <c r="F814" i="4"/>
  <c r="E814" i="4"/>
  <c r="D814" i="4"/>
  <c r="C814" i="4"/>
  <c r="B814" i="4"/>
  <c r="A814" i="4"/>
  <c r="Q813" i="4"/>
  <c r="P813" i="4"/>
  <c r="O813" i="4"/>
  <c r="N813" i="4"/>
  <c r="L813" i="4"/>
  <c r="K813" i="4"/>
  <c r="J813" i="4"/>
  <c r="I813" i="4"/>
  <c r="H813" i="4"/>
  <c r="G813" i="4"/>
  <c r="F813" i="4"/>
  <c r="E813" i="4"/>
  <c r="D813" i="4"/>
  <c r="C813" i="4"/>
  <c r="B813" i="4"/>
  <c r="A813" i="4"/>
  <c r="Q812" i="4"/>
  <c r="P812" i="4"/>
  <c r="O812" i="4"/>
  <c r="N812" i="4"/>
  <c r="L812" i="4"/>
  <c r="K812" i="4"/>
  <c r="J812" i="4"/>
  <c r="I812" i="4"/>
  <c r="H812" i="4"/>
  <c r="G812" i="4"/>
  <c r="F812" i="4"/>
  <c r="E812" i="4"/>
  <c r="D812" i="4"/>
  <c r="C812" i="4"/>
  <c r="B812" i="4"/>
  <c r="A812" i="4"/>
  <c r="Q811" i="4"/>
  <c r="P811" i="4"/>
  <c r="O811" i="4"/>
  <c r="N811" i="4"/>
  <c r="L811" i="4"/>
  <c r="K811" i="4"/>
  <c r="J811" i="4"/>
  <c r="I811" i="4"/>
  <c r="H811" i="4"/>
  <c r="G811" i="4"/>
  <c r="F811" i="4"/>
  <c r="E811" i="4"/>
  <c r="D811" i="4"/>
  <c r="C811" i="4"/>
  <c r="B811" i="4"/>
  <c r="A811" i="4"/>
  <c r="Q810" i="4"/>
  <c r="P810" i="4"/>
  <c r="O810" i="4"/>
  <c r="N810" i="4"/>
  <c r="L810" i="4"/>
  <c r="K810" i="4"/>
  <c r="J810" i="4"/>
  <c r="I810" i="4"/>
  <c r="H810" i="4"/>
  <c r="G810" i="4"/>
  <c r="F810" i="4"/>
  <c r="E810" i="4"/>
  <c r="D810" i="4"/>
  <c r="C810" i="4"/>
  <c r="B810" i="4"/>
  <c r="A810" i="4"/>
  <c r="Q809" i="4"/>
  <c r="P809" i="4"/>
  <c r="O809" i="4"/>
  <c r="N809" i="4"/>
  <c r="L809" i="4"/>
  <c r="K809" i="4"/>
  <c r="J809" i="4"/>
  <c r="I809" i="4"/>
  <c r="H809" i="4"/>
  <c r="G809" i="4"/>
  <c r="F809" i="4"/>
  <c r="E809" i="4"/>
  <c r="D809" i="4"/>
  <c r="C809" i="4"/>
  <c r="B809" i="4"/>
  <c r="A809" i="4"/>
  <c r="Q808" i="4"/>
  <c r="P808" i="4"/>
  <c r="O808" i="4"/>
  <c r="N808" i="4"/>
  <c r="L808" i="4"/>
  <c r="K808" i="4"/>
  <c r="J808" i="4"/>
  <c r="I808" i="4"/>
  <c r="H808" i="4"/>
  <c r="G808" i="4"/>
  <c r="F808" i="4"/>
  <c r="E808" i="4"/>
  <c r="D808" i="4"/>
  <c r="C808" i="4"/>
  <c r="B808" i="4"/>
  <c r="A808" i="4"/>
  <c r="Q807" i="4"/>
  <c r="P807" i="4"/>
  <c r="O807" i="4"/>
  <c r="N807" i="4"/>
  <c r="L807" i="4"/>
  <c r="K807" i="4"/>
  <c r="J807" i="4"/>
  <c r="I807" i="4"/>
  <c r="H807" i="4"/>
  <c r="G807" i="4"/>
  <c r="F807" i="4"/>
  <c r="E807" i="4"/>
  <c r="D807" i="4"/>
  <c r="C807" i="4"/>
  <c r="B807" i="4"/>
  <c r="A807" i="4"/>
  <c r="Q806" i="4"/>
  <c r="P806" i="4"/>
  <c r="O806" i="4"/>
  <c r="N806" i="4"/>
  <c r="L806" i="4"/>
  <c r="K806" i="4"/>
  <c r="J806" i="4"/>
  <c r="I806" i="4"/>
  <c r="H806" i="4"/>
  <c r="G806" i="4"/>
  <c r="F806" i="4"/>
  <c r="E806" i="4"/>
  <c r="D806" i="4"/>
  <c r="C806" i="4"/>
  <c r="B806" i="4"/>
  <c r="A806" i="4"/>
  <c r="Q805" i="4"/>
  <c r="P805" i="4"/>
  <c r="O805" i="4"/>
  <c r="N805" i="4"/>
  <c r="L805" i="4"/>
  <c r="K805" i="4"/>
  <c r="J805" i="4"/>
  <c r="I805" i="4"/>
  <c r="H805" i="4"/>
  <c r="G805" i="4"/>
  <c r="F805" i="4"/>
  <c r="E805" i="4"/>
  <c r="D805" i="4"/>
  <c r="C805" i="4"/>
  <c r="B805" i="4"/>
  <c r="A805" i="4"/>
  <c r="Q804" i="4"/>
  <c r="P804" i="4"/>
  <c r="O804" i="4"/>
  <c r="N804" i="4"/>
  <c r="L804" i="4"/>
  <c r="K804" i="4"/>
  <c r="J804" i="4"/>
  <c r="I804" i="4"/>
  <c r="H804" i="4"/>
  <c r="G804" i="4"/>
  <c r="F804" i="4"/>
  <c r="E804" i="4"/>
  <c r="D804" i="4"/>
  <c r="C804" i="4"/>
  <c r="B804" i="4"/>
  <c r="A804" i="4"/>
  <c r="Q803" i="4"/>
  <c r="P803" i="4"/>
  <c r="O803" i="4"/>
  <c r="N803" i="4"/>
  <c r="L803" i="4"/>
  <c r="K803" i="4"/>
  <c r="J803" i="4"/>
  <c r="I803" i="4"/>
  <c r="H803" i="4"/>
  <c r="G803" i="4"/>
  <c r="F803" i="4"/>
  <c r="E803" i="4"/>
  <c r="D803" i="4"/>
  <c r="C803" i="4"/>
  <c r="B803" i="4"/>
  <c r="A803" i="4"/>
  <c r="Q802" i="4"/>
  <c r="P802" i="4"/>
  <c r="O802" i="4"/>
  <c r="N802" i="4"/>
  <c r="L802" i="4"/>
  <c r="K802" i="4"/>
  <c r="J802" i="4"/>
  <c r="I802" i="4"/>
  <c r="H802" i="4"/>
  <c r="G802" i="4"/>
  <c r="F802" i="4"/>
  <c r="E802" i="4"/>
  <c r="D802" i="4"/>
  <c r="C802" i="4"/>
  <c r="B802" i="4"/>
  <c r="A802" i="4"/>
  <c r="Q801" i="4"/>
  <c r="P801" i="4"/>
  <c r="O801" i="4"/>
  <c r="N801" i="4"/>
  <c r="L801" i="4"/>
  <c r="K801" i="4"/>
  <c r="J801" i="4"/>
  <c r="I801" i="4"/>
  <c r="H801" i="4"/>
  <c r="G801" i="4"/>
  <c r="F801" i="4"/>
  <c r="E801" i="4"/>
  <c r="D801" i="4"/>
  <c r="C801" i="4"/>
  <c r="B801" i="4"/>
  <c r="A801" i="4"/>
  <c r="Q800" i="4"/>
  <c r="P800" i="4"/>
  <c r="O800" i="4"/>
  <c r="N800" i="4"/>
  <c r="L800" i="4"/>
  <c r="K800" i="4"/>
  <c r="J800" i="4"/>
  <c r="I800" i="4"/>
  <c r="H800" i="4"/>
  <c r="G800" i="4"/>
  <c r="F800" i="4"/>
  <c r="E800" i="4"/>
  <c r="D800" i="4"/>
  <c r="C800" i="4"/>
  <c r="B800" i="4"/>
  <c r="A800" i="4"/>
  <c r="Q799" i="4"/>
  <c r="P799" i="4"/>
  <c r="O799" i="4"/>
  <c r="N799" i="4"/>
  <c r="L799" i="4"/>
  <c r="K799" i="4"/>
  <c r="J799" i="4"/>
  <c r="I799" i="4"/>
  <c r="H799" i="4"/>
  <c r="G799" i="4"/>
  <c r="F799" i="4"/>
  <c r="E799" i="4"/>
  <c r="D799" i="4"/>
  <c r="C799" i="4"/>
  <c r="B799" i="4"/>
  <c r="A799" i="4"/>
  <c r="Q798" i="4"/>
  <c r="P798" i="4"/>
  <c r="O798" i="4"/>
  <c r="N798" i="4"/>
  <c r="L798" i="4"/>
  <c r="K798" i="4"/>
  <c r="J798" i="4"/>
  <c r="I798" i="4"/>
  <c r="H798" i="4"/>
  <c r="G798" i="4"/>
  <c r="F798" i="4"/>
  <c r="E798" i="4"/>
  <c r="D798" i="4"/>
  <c r="C798" i="4"/>
  <c r="B798" i="4"/>
  <c r="A798" i="4"/>
  <c r="Q797" i="4"/>
  <c r="P797" i="4"/>
  <c r="O797" i="4"/>
  <c r="N797" i="4"/>
  <c r="L797" i="4"/>
  <c r="K797" i="4"/>
  <c r="J797" i="4"/>
  <c r="I797" i="4"/>
  <c r="H797" i="4"/>
  <c r="G797" i="4"/>
  <c r="F797" i="4"/>
  <c r="E797" i="4"/>
  <c r="D797" i="4"/>
  <c r="C797" i="4"/>
  <c r="B797" i="4"/>
  <c r="A797" i="4"/>
  <c r="Q796" i="4"/>
  <c r="P796" i="4"/>
  <c r="O796" i="4"/>
  <c r="N796" i="4"/>
  <c r="L796" i="4"/>
  <c r="K796" i="4"/>
  <c r="J796" i="4"/>
  <c r="I796" i="4"/>
  <c r="H796" i="4"/>
  <c r="G796" i="4"/>
  <c r="F796" i="4"/>
  <c r="E796" i="4"/>
  <c r="D796" i="4"/>
  <c r="C796" i="4"/>
  <c r="B796" i="4"/>
  <c r="A796" i="4"/>
  <c r="Q795" i="4"/>
  <c r="P795" i="4"/>
  <c r="O795" i="4"/>
  <c r="N795" i="4"/>
  <c r="L795" i="4"/>
  <c r="K795" i="4"/>
  <c r="J795" i="4"/>
  <c r="I795" i="4"/>
  <c r="H795" i="4"/>
  <c r="G795" i="4"/>
  <c r="F795" i="4"/>
  <c r="E795" i="4"/>
  <c r="D795" i="4"/>
  <c r="C795" i="4"/>
  <c r="B795" i="4"/>
  <c r="A795" i="4"/>
  <c r="Q794" i="4"/>
  <c r="P794" i="4"/>
  <c r="O794" i="4"/>
  <c r="N794" i="4"/>
  <c r="L794" i="4"/>
  <c r="K794" i="4"/>
  <c r="J794" i="4"/>
  <c r="I794" i="4"/>
  <c r="H794" i="4"/>
  <c r="G794" i="4"/>
  <c r="F794" i="4"/>
  <c r="E794" i="4"/>
  <c r="D794" i="4"/>
  <c r="C794" i="4"/>
  <c r="B794" i="4"/>
  <c r="A794" i="4"/>
  <c r="Q793" i="4"/>
  <c r="P793" i="4"/>
  <c r="O793" i="4"/>
  <c r="N793" i="4"/>
  <c r="L793" i="4"/>
  <c r="K793" i="4"/>
  <c r="J793" i="4"/>
  <c r="I793" i="4"/>
  <c r="H793" i="4"/>
  <c r="G793" i="4"/>
  <c r="F793" i="4"/>
  <c r="E793" i="4"/>
  <c r="D793" i="4"/>
  <c r="C793" i="4"/>
  <c r="B793" i="4"/>
  <c r="A793" i="4"/>
  <c r="Q792" i="4"/>
  <c r="P792" i="4"/>
  <c r="O792" i="4"/>
  <c r="N792" i="4"/>
  <c r="L792" i="4"/>
  <c r="K792" i="4"/>
  <c r="J792" i="4"/>
  <c r="I792" i="4"/>
  <c r="H792" i="4"/>
  <c r="G792" i="4"/>
  <c r="F792" i="4"/>
  <c r="E792" i="4"/>
  <c r="D792" i="4"/>
  <c r="C792" i="4"/>
  <c r="B792" i="4"/>
  <c r="A792" i="4"/>
  <c r="Q791" i="4"/>
  <c r="P791" i="4"/>
  <c r="O791" i="4"/>
  <c r="N791" i="4"/>
  <c r="L791" i="4"/>
  <c r="K791" i="4"/>
  <c r="J791" i="4"/>
  <c r="I791" i="4"/>
  <c r="H791" i="4"/>
  <c r="G791" i="4"/>
  <c r="F791" i="4"/>
  <c r="E791" i="4"/>
  <c r="D791" i="4"/>
  <c r="C791" i="4"/>
  <c r="B791" i="4"/>
  <c r="A791" i="4"/>
  <c r="Q790" i="4"/>
  <c r="P790" i="4"/>
  <c r="O790" i="4"/>
  <c r="N790" i="4"/>
  <c r="L790" i="4"/>
  <c r="K790" i="4"/>
  <c r="J790" i="4"/>
  <c r="I790" i="4"/>
  <c r="H790" i="4"/>
  <c r="G790" i="4"/>
  <c r="F790" i="4"/>
  <c r="E790" i="4"/>
  <c r="D790" i="4"/>
  <c r="C790" i="4"/>
  <c r="B790" i="4"/>
  <c r="A790" i="4"/>
  <c r="Q789" i="4"/>
  <c r="P789" i="4"/>
  <c r="O789" i="4"/>
  <c r="N789" i="4"/>
  <c r="L789" i="4"/>
  <c r="K789" i="4"/>
  <c r="J789" i="4"/>
  <c r="I789" i="4"/>
  <c r="H789" i="4"/>
  <c r="G789" i="4"/>
  <c r="F789" i="4"/>
  <c r="E789" i="4"/>
  <c r="D789" i="4"/>
  <c r="C789" i="4"/>
  <c r="B789" i="4"/>
  <c r="A789" i="4"/>
  <c r="Q788" i="4"/>
  <c r="P788" i="4"/>
  <c r="O788" i="4"/>
  <c r="N788" i="4"/>
  <c r="L788" i="4"/>
  <c r="K788" i="4"/>
  <c r="J788" i="4"/>
  <c r="I788" i="4"/>
  <c r="H788" i="4"/>
  <c r="G788" i="4"/>
  <c r="F788" i="4"/>
  <c r="E788" i="4"/>
  <c r="D788" i="4"/>
  <c r="C788" i="4"/>
  <c r="B788" i="4"/>
  <c r="A788" i="4"/>
  <c r="Q787" i="4"/>
  <c r="P787" i="4"/>
  <c r="O787" i="4"/>
  <c r="N787" i="4"/>
  <c r="L787" i="4"/>
  <c r="K787" i="4"/>
  <c r="J787" i="4"/>
  <c r="I787" i="4"/>
  <c r="H787" i="4"/>
  <c r="G787" i="4"/>
  <c r="F787" i="4"/>
  <c r="E787" i="4"/>
  <c r="D787" i="4"/>
  <c r="C787" i="4"/>
  <c r="B787" i="4"/>
  <c r="A787" i="4"/>
  <c r="Q786" i="4"/>
  <c r="P786" i="4"/>
  <c r="O786" i="4"/>
  <c r="N786" i="4"/>
  <c r="L786" i="4"/>
  <c r="K786" i="4"/>
  <c r="J786" i="4"/>
  <c r="I786" i="4"/>
  <c r="H786" i="4"/>
  <c r="G786" i="4"/>
  <c r="F786" i="4"/>
  <c r="E786" i="4"/>
  <c r="D786" i="4"/>
  <c r="C786" i="4"/>
  <c r="B786" i="4"/>
  <c r="A786" i="4"/>
  <c r="Q785" i="4"/>
  <c r="P785" i="4"/>
  <c r="O785" i="4"/>
  <c r="N785" i="4"/>
  <c r="L785" i="4"/>
  <c r="K785" i="4"/>
  <c r="J785" i="4"/>
  <c r="I785" i="4"/>
  <c r="H785" i="4"/>
  <c r="G785" i="4"/>
  <c r="F785" i="4"/>
  <c r="E785" i="4"/>
  <c r="D785" i="4"/>
  <c r="C785" i="4"/>
  <c r="B785" i="4"/>
  <c r="A785" i="4"/>
  <c r="Q784" i="4"/>
  <c r="P784" i="4"/>
  <c r="O784" i="4"/>
  <c r="N784" i="4"/>
  <c r="L784" i="4"/>
  <c r="K784" i="4"/>
  <c r="J784" i="4"/>
  <c r="I784" i="4"/>
  <c r="H784" i="4"/>
  <c r="G784" i="4"/>
  <c r="F784" i="4"/>
  <c r="E784" i="4"/>
  <c r="D784" i="4"/>
  <c r="C784" i="4"/>
  <c r="B784" i="4"/>
  <c r="A784" i="4"/>
  <c r="Q783" i="4"/>
  <c r="P783" i="4"/>
  <c r="O783" i="4"/>
  <c r="N783" i="4"/>
  <c r="L783" i="4"/>
  <c r="K783" i="4"/>
  <c r="J783" i="4"/>
  <c r="I783" i="4"/>
  <c r="H783" i="4"/>
  <c r="G783" i="4"/>
  <c r="F783" i="4"/>
  <c r="E783" i="4"/>
  <c r="D783" i="4"/>
  <c r="C783" i="4"/>
  <c r="B783" i="4"/>
  <c r="A783" i="4"/>
  <c r="Q782" i="4"/>
  <c r="P782" i="4"/>
  <c r="O782" i="4"/>
  <c r="N782" i="4"/>
  <c r="L782" i="4"/>
  <c r="K782" i="4"/>
  <c r="J782" i="4"/>
  <c r="I782" i="4"/>
  <c r="H782" i="4"/>
  <c r="G782" i="4"/>
  <c r="F782" i="4"/>
  <c r="E782" i="4"/>
  <c r="D782" i="4"/>
  <c r="C782" i="4"/>
  <c r="B782" i="4"/>
  <c r="A782" i="4"/>
  <c r="Q781" i="4"/>
  <c r="P781" i="4"/>
  <c r="O781" i="4"/>
  <c r="N781" i="4"/>
  <c r="L781" i="4"/>
  <c r="K781" i="4"/>
  <c r="J781" i="4"/>
  <c r="I781" i="4"/>
  <c r="H781" i="4"/>
  <c r="G781" i="4"/>
  <c r="F781" i="4"/>
  <c r="E781" i="4"/>
  <c r="D781" i="4"/>
  <c r="C781" i="4"/>
  <c r="B781" i="4"/>
  <c r="A781" i="4"/>
  <c r="Q780" i="4"/>
  <c r="P780" i="4"/>
  <c r="O780" i="4"/>
  <c r="N780" i="4"/>
  <c r="L780" i="4"/>
  <c r="K780" i="4"/>
  <c r="J780" i="4"/>
  <c r="I780" i="4"/>
  <c r="H780" i="4"/>
  <c r="G780" i="4"/>
  <c r="F780" i="4"/>
  <c r="E780" i="4"/>
  <c r="D780" i="4"/>
  <c r="C780" i="4"/>
  <c r="B780" i="4"/>
  <c r="A780" i="4"/>
  <c r="Q779" i="4"/>
  <c r="P779" i="4"/>
  <c r="O779" i="4"/>
  <c r="N779" i="4"/>
  <c r="L779" i="4"/>
  <c r="K779" i="4"/>
  <c r="J779" i="4"/>
  <c r="I779" i="4"/>
  <c r="H779" i="4"/>
  <c r="G779" i="4"/>
  <c r="F779" i="4"/>
  <c r="E779" i="4"/>
  <c r="D779" i="4"/>
  <c r="C779" i="4"/>
  <c r="B779" i="4"/>
  <c r="A779" i="4"/>
  <c r="Q778" i="4"/>
  <c r="P778" i="4"/>
  <c r="O778" i="4"/>
  <c r="N778" i="4"/>
  <c r="L778" i="4"/>
  <c r="K778" i="4"/>
  <c r="J778" i="4"/>
  <c r="I778" i="4"/>
  <c r="H778" i="4"/>
  <c r="G778" i="4"/>
  <c r="F778" i="4"/>
  <c r="E778" i="4"/>
  <c r="D778" i="4"/>
  <c r="C778" i="4"/>
  <c r="B778" i="4"/>
  <c r="A778" i="4"/>
  <c r="Q777" i="4"/>
  <c r="P777" i="4"/>
  <c r="O777" i="4"/>
  <c r="N777" i="4"/>
  <c r="L777" i="4"/>
  <c r="K777" i="4"/>
  <c r="J777" i="4"/>
  <c r="I777" i="4"/>
  <c r="H777" i="4"/>
  <c r="G777" i="4"/>
  <c r="F777" i="4"/>
  <c r="E777" i="4"/>
  <c r="D777" i="4"/>
  <c r="C777" i="4"/>
  <c r="B777" i="4"/>
  <c r="A777" i="4"/>
  <c r="Q776" i="4"/>
  <c r="P776" i="4"/>
  <c r="O776" i="4"/>
  <c r="N776" i="4"/>
  <c r="L776" i="4"/>
  <c r="K776" i="4"/>
  <c r="J776" i="4"/>
  <c r="I776" i="4"/>
  <c r="H776" i="4"/>
  <c r="G776" i="4"/>
  <c r="F776" i="4"/>
  <c r="E776" i="4"/>
  <c r="D776" i="4"/>
  <c r="C776" i="4"/>
  <c r="B776" i="4"/>
  <c r="A776" i="4"/>
  <c r="Q775" i="4"/>
  <c r="P775" i="4"/>
  <c r="O775" i="4"/>
  <c r="N775" i="4"/>
  <c r="L775" i="4"/>
  <c r="K775" i="4"/>
  <c r="J775" i="4"/>
  <c r="I775" i="4"/>
  <c r="H775" i="4"/>
  <c r="G775" i="4"/>
  <c r="F775" i="4"/>
  <c r="E775" i="4"/>
  <c r="D775" i="4"/>
  <c r="C775" i="4"/>
  <c r="B775" i="4"/>
  <c r="A775" i="4"/>
  <c r="Q774" i="4"/>
  <c r="P774" i="4"/>
  <c r="O774" i="4"/>
  <c r="N774" i="4"/>
  <c r="L774" i="4"/>
  <c r="K774" i="4"/>
  <c r="J774" i="4"/>
  <c r="I774" i="4"/>
  <c r="H774" i="4"/>
  <c r="G774" i="4"/>
  <c r="F774" i="4"/>
  <c r="E774" i="4"/>
  <c r="D774" i="4"/>
  <c r="C774" i="4"/>
  <c r="B774" i="4"/>
  <c r="A774" i="4"/>
  <c r="Q773" i="4"/>
  <c r="P773" i="4"/>
  <c r="O773" i="4"/>
  <c r="N773" i="4"/>
  <c r="L773" i="4"/>
  <c r="K773" i="4"/>
  <c r="J773" i="4"/>
  <c r="I773" i="4"/>
  <c r="H773" i="4"/>
  <c r="G773" i="4"/>
  <c r="F773" i="4"/>
  <c r="E773" i="4"/>
  <c r="D773" i="4"/>
  <c r="C773" i="4"/>
  <c r="B773" i="4"/>
  <c r="A773" i="4"/>
  <c r="Q772" i="4"/>
  <c r="P772" i="4"/>
  <c r="O772" i="4"/>
  <c r="N772" i="4"/>
  <c r="L772" i="4"/>
  <c r="K772" i="4"/>
  <c r="J772" i="4"/>
  <c r="I772" i="4"/>
  <c r="H772" i="4"/>
  <c r="G772" i="4"/>
  <c r="F772" i="4"/>
  <c r="E772" i="4"/>
  <c r="D772" i="4"/>
  <c r="C772" i="4"/>
  <c r="B772" i="4"/>
  <c r="A772" i="4"/>
  <c r="Q771" i="4"/>
  <c r="P771" i="4"/>
  <c r="O771" i="4"/>
  <c r="N771" i="4"/>
  <c r="L771" i="4"/>
  <c r="K771" i="4"/>
  <c r="J771" i="4"/>
  <c r="I771" i="4"/>
  <c r="H771" i="4"/>
  <c r="G771" i="4"/>
  <c r="F771" i="4"/>
  <c r="E771" i="4"/>
  <c r="D771" i="4"/>
  <c r="C771" i="4"/>
  <c r="B771" i="4"/>
  <c r="A771" i="4"/>
  <c r="Q770" i="4"/>
  <c r="P770" i="4"/>
  <c r="O770" i="4"/>
  <c r="N770" i="4"/>
  <c r="L770" i="4"/>
  <c r="K770" i="4"/>
  <c r="J770" i="4"/>
  <c r="I770" i="4"/>
  <c r="H770" i="4"/>
  <c r="G770" i="4"/>
  <c r="F770" i="4"/>
  <c r="E770" i="4"/>
  <c r="D770" i="4"/>
  <c r="C770" i="4"/>
  <c r="B770" i="4"/>
  <c r="A770" i="4"/>
  <c r="Q769" i="4"/>
  <c r="P769" i="4"/>
  <c r="O769" i="4"/>
  <c r="N769" i="4"/>
  <c r="L769" i="4"/>
  <c r="K769" i="4"/>
  <c r="J769" i="4"/>
  <c r="I769" i="4"/>
  <c r="H769" i="4"/>
  <c r="G769" i="4"/>
  <c r="F769" i="4"/>
  <c r="E769" i="4"/>
  <c r="D769" i="4"/>
  <c r="C769" i="4"/>
  <c r="B769" i="4"/>
  <c r="A769" i="4"/>
  <c r="Q768" i="4"/>
  <c r="P768" i="4"/>
  <c r="O768" i="4"/>
  <c r="N768" i="4"/>
  <c r="L768" i="4"/>
  <c r="K768" i="4"/>
  <c r="J768" i="4"/>
  <c r="I768" i="4"/>
  <c r="H768" i="4"/>
  <c r="G768" i="4"/>
  <c r="F768" i="4"/>
  <c r="E768" i="4"/>
  <c r="D768" i="4"/>
  <c r="C768" i="4"/>
  <c r="B768" i="4"/>
  <c r="A768" i="4"/>
  <c r="Q767" i="4"/>
  <c r="P767" i="4"/>
  <c r="O767" i="4"/>
  <c r="N767" i="4"/>
  <c r="L767" i="4"/>
  <c r="K767" i="4"/>
  <c r="J767" i="4"/>
  <c r="I767" i="4"/>
  <c r="H767" i="4"/>
  <c r="G767" i="4"/>
  <c r="F767" i="4"/>
  <c r="E767" i="4"/>
  <c r="D767" i="4"/>
  <c r="C767" i="4"/>
  <c r="B767" i="4"/>
  <c r="A767" i="4"/>
  <c r="Q766" i="4"/>
  <c r="P766" i="4"/>
  <c r="O766" i="4"/>
  <c r="N766" i="4"/>
  <c r="L766" i="4"/>
  <c r="K766" i="4"/>
  <c r="J766" i="4"/>
  <c r="I766" i="4"/>
  <c r="H766" i="4"/>
  <c r="G766" i="4"/>
  <c r="F766" i="4"/>
  <c r="E766" i="4"/>
  <c r="D766" i="4"/>
  <c r="C766" i="4"/>
  <c r="B766" i="4"/>
  <c r="A766" i="4"/>
  <c r="Q765" i="4"/>
  <c r="P765" i="4"/>
  <c r="O765" i="4"/>
  <c r="N765" i="4"/>
  <c r="L765" i="4"/>
  <c r="K765" i="4"/>
  <c r="J765" i="4"/>
  <c r="I765" i="4"/>
  <c r="H765" i="4"/>
  <c r="G765" i="4"/>
  <c r="F765" i="4"/>
  <c r="E765" i="4"/>
  <c r="D765" i="4"/>
  <c r="C765" i="4"/>
  <c r="B765" i="4"/>
  <c r="A765" i="4"/>
  <c r="Q764" i="4"/>
  <c r="P764" i="4"/>
  <c r="O764" i="4"/>
  <c r="N764" i="4"/>
  <c r="L764" i="4"/>
  <c r="K764" i="4"/>
  <c r="J764" i="4"/>
  <c r="I764" i="4"/>
  <c r="H764" i="4"/>
  <c r="G764" i="4"/>
  <c r="F764" i="4"/>
  <c r="E764" i="4"/>
  <c r="D764" i="4"/>
  <c r="C764" i="4"/>
  <c r="B764" i="4"/>
  <c r="A764" i="4"/>
  <c r="Q763" i="4"/>
  <c r="P763" i="4"/>
  <c r="O763" i="4"/>
  <c r="N763" i="4"/>
  <c r="L763" i="4"/>
  <c r="K763" i="4"/>
  <c r="J763" i="4"/>
  <c r="I763" i="4"/>
  <c r="H763" i="4"/>
  <c r="G763" i="4"/>
  <c r="F763" i="4"/>
  <c r="E763" i="4"/>
  <c r="D763" i="4"/>
  <c r="C763" i="4"/>
  <c r="B763" i="4"/>
  <c r="A763" i="4"/>
  <c r="Q762" i="4"/>
  <c r="P762" i="4"/>
  <c r="O762" i="4"/>
  <c r="N762" i="4"/>
  <c r="L762" i="4"/>
  <c r="K762" i="4"/>
  <c r="J762" i="4"/>
  <c r="I762" i="4"/>
  <c r="H762" i="4"/>
  <c r="G762" i="4"/>
  <c r="F762" i="4"/>
  <c r="E762" i="4"/>
  <c r="D762" i="4"/>
  <c r="C762" i="4"/>
  <c r="B762" i="4"/>
  <c r="A762" i="4"/>
  <c r="Q761" i="4"/>
  <c r="P761" i="4"/>
  <c r="O761" i="4"/>
  <c r="N761" i="4"/>
  <c r="L761" i="4"/>
  <c r="K761" i="4"/>
  <c r="J761" i="4"/>
  <c r="I761" i="4"/>
  <c r="H761" i="4"/>
  <c r="G761" i="4"/>
  <c r="F761" i="4"/>
  <c r="E761" i="4"/>
  <c r="D761" i="4"/>
  <c r="C761" i="4"/>
  <c r="B761" i="4"/>
  <c r="A761" i="4"/>
  <c r="Q760" i="4"/>
  <c r="P760" i="4"/>
  <c r="O760" i="4"/>
  <c r="N760" i="4"/>
  <c r="L760" i="4"/>
  <c r="K760" i="4"/>
  <c r="J760" i="4"/>
  <c r="I760" i="4"/>
  <c r="H760" i="4"/>
  <c r="G760" i="4"/>
  <c r="F760" i="4"/>
  <c r="E760" i="4"/>
  <c r="D760" i="4"/>
  <c r="C760" i="4"/>
  <c r="B760" i="4"/>
  <c r="A760" i="4"/>
  <c r="Q759" i="4"/>
  <c r="P759" i="4"/>
  <c r="O759" i="4"/>
  <c r="N759" i="4"/>
  <c r="L759" i="4"/>
  <c r="K759" i="4"/>
  <c r="J759" i="4"/>
  <c r="I759" i="4"/>
  <c r="H759" i="4"/>
  <c r="G759" i="4"/>
  <c r="F759" i="4"/>
  <c r="E759" i="4"/>
  <c r="D759" i="4"/>
  <c r="C759" i="4"/>
  <c r="B759" i="4"/>
  <c r="A759" i="4"/>
  <c r="Q758" i="4"/>
  <c r="P758" i="4"/>
  <c r="O758" i="4"/>
  <c r="N758" i="4"/>
  <c r="L758" i="4"/>
  <c r="K758" i="4"/>
  <c r="J758" i="4"/>
  <c r="I758" i="4"/>
  <c r="H758" i="4"/>
  <c r="G758" i="4"/>
  <c r="F758" i="4"/>
  <c r="E758" i="4"/>
  <c r="D758" i="4"/>
  <c r="C758" i="4"/>
  <c r="B758" i="4"/>
  <c r="A758" i="4"/>
  <c r="Q757" i="4"/>
  <c r="P757" i="4"/>
  <c r="O757" i="4"/>
  <c r="N757" i="4"/>
  <c r="L757" i="4"/>
  <c r="K757" i="4"/>
  <c r="J757" i="4"/>
  <c r="I757" i="4"/>
  <c r="H757" i="4"/>
  <c r="G757" i="4"/>
  <c r="F757" i="4"/>
  <c r="E757" i="4"/>
  <c r="D757" i="4"/>
  <c r="C757" i="4"/>
  <c r="B757" i="4"/>
  <c r="A757" i="4"/>
  <c r="Q756" i="4"/>
  <c r="P756" i="4"/>
  <c r="O756" i="4"/>
  <c r="N756" i="4"/>
  <c r="L756" i="4"/>
  <c r="K756" i="4"/>
  <c r="J756" i="4"/>
  <c r="I756" i="4"/>
  <c r="H756" i="4"/>
  <c r="G756" i="4"/>
  <c r="F756" i="4"/>
  <c r="E756" i="4"/>
  <c r="D756" i="4"/>
  <c r="C756" i="4"/>
  <c r="B756" i="4"/>
  <c r="A756" i="4"/>
  <c r="Q755" i="4"/>
  <c r="P755" i="4"/>
  <c r="O755" i="4"/>
  <c r="N755" i="4"/>
  <c r="L755" i="4"/>
  <c r="K755" i="4"/>
  <c r="J755" i="4"/>
  <c r="I755" i="4"/>
  <c r="H755" i="4"/>
  <c r="G755" i="4"/>
  <c r="F755" i="4"/>
  <c r="E755" i="4"/>
  <c r="D755" i="4"/>
  <c r="C755" i="4"/>
  <c r="B755" i="4"/>
  <c r="A755" i="4"/>
  <c r="Q754" i="4"/>
  <c r="P754" i="4"/>
  <c r="O754" i="4"/>
  <c r="N754" i="4"/>
  <c r="L754" i="4"/>
  <c r="K754" i="4"/>
  <c r="J754" i="4"/>
  <c r="I754" i="4"/>
  <c r="H754" i="4"/>
  <c r="G754" i="4"/>
  <c r="F754" i="4"/>
  <c r="E754" i="4"/>
  <c r="D754" i="4"/>
  <c r="C754" i="4"/>
  <c r="B754" i="4"/>
  <c r="A754" i="4"/>
  <c r="Q753" i="4"/>
  <c r="P753" i="4"/>
  <c r="O753" i="4"/>
  <c r="N753" i="4"/>
  <c r="L753" i="4"/>
  <c r="K753" i="4"/>
  <c r="J753" i="4"/>
  <c r="I753" i="4"/>
  <c r="H753" i="4"/>
  <c r="G753" i="4"/>
  <c r="F753" i="4"/>
  <c r="E753" i="4"/>
  <c r="D753" i="4"/>
  <c r="C753" i="4"/>
  <c r="B753" i="4"/>
  <c r="A753" i="4"/>
  <c r="Q752" i="4"/>
  <c r="P752" i="4"/>
  <c r="O752" i="4"/>
  <c r="N752" i="4"/>
  <c r="L752" i="4"/>
  <c r="K752" i="4"/>
  <c r="J752" i="4"/>
  <c r="I752" i="4"/>
  <c r="H752" i="4"/>
  <c r="G752" i="4"/>
  <c r="F752" i="4"/>
  <c r="E752" i="4"/>
  <c r="D752" i="4"/>
  <c r="C752" i="4"/>
  <c r="B752" i="4"/>
  <c r="A752" i="4"/>
  <c r="Q751" i="4"/>
  <c r="P751" i="4"/>
  <c r="O751" i="4"/>
  <c r="N751" i="4"/>
  <c r="L751" i="4"/>
  <c r="K751" i="4"/>
  <c r="J751" i="4"/>
  <c r="I751" i="4"/>
  <c r="H751" i="4"/>
  <c r="G751" i="4"/>
  <c r="F751" i="4"/>
  <c r="E751" i="4"/>
  <c r="D751" i="4"/>
  <c r="C751" i="4"/>
  <c r="B751" i="4"/>
  <c r="A751" i="4"/>
  <c r="Q750" i="4"/>
  <c r="P750" i="4"/>
  <c r="O750" i="4"/>
  <c r="N750" i="4"/>
  <c r="L750" i="4"/>
  <c r="K750" i="4"/>
  <c r="J750" i="4"/>
  <c r="I750" i="4"/>
  <c r="H750" i="4"/>
  <c r="G750" i="4"/>
  <c r="F750" i="4"/>
  <c r="E750" i="4"/>
  <c r="D750" i="4"/>
  <c r="C750" i="4"/>
  <c r="B750" i="4"/>
  <c r="A750" i="4"/>
  <c r="Q749" i="4"/>
  <c r="P749" i="4"/>
  <c r="O749" i="4"/>
  <c r="N749" i="4"/>
  <c r="L749" i="4"/>
  <c r="K749" i="4"/>
  <c r="J749" i="4"/>
  <c r="I749" i="4"/>
  <c r="H749" i="4"/>
  <c r="G749" i="4"/>
  <c r="F749" i="4"/>
  <c r="E749" i="4"/>
  <c r="D749" i="4"/>
  <c r="C749" i="4"/>
  <c r="B749" i="4"/>
  <c r="A749" i="4"/>
  <c r="Q748" i="4"/>
  <c r="P748" i="4"/>
  <c r="O748" i="4"/>
  <c r="N748" i="4"/>
  <c r="L748" i="4"/>
  <c r="K748" i="4"/>
  <c r="J748" i="4"/>
  <c r="I748" i="4"/>
  <c r="H748" i="4"/>
  <c r="G748" i="4"/>
  <c r="F748" i="4"/>
  <c r="E748" i="4"/>
  <c r="D748" i="4"/>
  <c r="C748" i="4"/>
  <c r="B748" i="4"/>
  <c r="A748" i="4"/>
  <c r="Q747" i="4"/>
  <c r="P747" i="4"/>
  <c r="O747" i="4"/>
  <c r="N747" i="4"/>
  <c r="L747" i="4"/>
  <c r="K747" i="4"/>
  <c r="J747" i="4"/>
  <c r="I747" i="4"/>
  <c r="H747" i="4"/>
  <c r="G747" i="4"/>
  <c r="F747" i="4"/>
  <c r="E747" i="4"/>
  <c r="D747" i="4"/>
  <c r="C747" i="4"/>
  <c r="B747" i="4"/>
  <c r="A747" i="4"/>
  <c r="Q746" i="4"/>
  <c r="P746" i="4"/>
  <c r="O746" i="4"/>
  <c r="N746" i="4"/>
  <c r="L746" i="4"/>
  <c r="K746" i="4"/>
  <c r="J746" i="4"/>
  <c r="I746" i="4"/>
  <c r="H746" i="4"/>
  <c r="G746" i="4"/>
  <c r="F746" i="4"/>
  <c r="E746" i="4"/>
  <c r="D746" i="4"/>
  <c r="C746" i="4"/>
  <c r="B746" i="4"/>
  <c r="A746" i="4"/>
  <c r="Q745" i="4"/>
  <c r="P745" i="4"/>
  <c r="O745" i="4"/>
  <c r="N745" i="4"/>
  <c r="L745" i="4"/>
  <c r="K745" i="4"/>
  <c r="J745" i="4"/>
  <c r="I745" i="4"/>
  <c r="H745" i="4"/>
  <c r="G745" i="4"/>
  <c r="F745" i="4"/>
  <c r="E745" i="4"/>
  <c r="D745" i="4"/>
  <c r="C745" i="4"/>
  <c r="B745" i="4"/>
  <c r="A745" i="4"/>
  <c r="Q744" i="4"/>
  <c r="P744" i="4"/>
  <c r="O744" i="4"/>
  <c r="N744" i="4"/>
  <c r="L744" i="4"/>
  <c r="K744" i="4"/>
  <c r="J744" i="4"/>
  <c r="I744" i="4"/>
  <c r="H744" i="4"/>
  <c r="G744" i="4"/>
  <c r="F744" i="4"/>
  <c r="E744" i="4"/>
  <c r="D744" i="4"/>
  <c r="C744" i="4"/>
  <c r="B744" i="4"/>
  <c r="A744" i="4"/>
  <c r="Q743" i="4"/>
  <c r="P743" i="4"/>
  <c r="O743" i="4"/>
  <c r="N743" i="4"/>
  <c r="L743" i="4"/>
  <c r="K743" i="4"/>
  <c r="J743" i="4"/>
  <c r="I743" i="4"/>
  <c r="H743" i="4"/>
  <c r="G743" i="4"/>
  <c r="F743" i="4"/>
  <c r="E743" i="4"/>
  <c r="D743" i="4"/>
  <c r="C743" i="4"/>
  <c r="B743" i="4"/>
  <c r="A743" i="4"/>
  <c r="Q742" i="4"/>
  <c r="P742" i="4"/>
  <c r="O742" i="4"/>
  <c r="N742" i="4"/>
  <c r="L742" i="4"/>
  <c r="K742" i="4"/>
  <c r="J742" i="4"/>
  <c r="I742" i="4"/>
  <c r="H742" i="4"/>
  <c r="G742" i="4"/>
  <c r="F742" i="4"/>
  <c r="E742" i="4"/>
  <c r="D742" i="4"/>
  <c r="C742" i="4"/>
  <c r="B742" i="4"/>
  <c r="A742" i="4"/>
  <c r="Q741" i="4"/>
  <c r="P741" i="4"/>
  <c r="O741" i="4"/>
  <c r="N741" i="4"/>
  <c r="L741" i="4"/>
  <c r="K741" i="4"/>
  <c r="J741" i="4"/>
  <c r="I741" i="4"/>
  <c r="H741" i="4"/>
  <c r="G741" i="4"/>
  <c r="F741" i="4"/>
  <c r="E741" i="4"/>
  <c r="D741" i="4"/>
  <c r="C741" i="4"/>
  <c r="B741" i="4"/>
  <c r="A741" i="4"/>
  <c r="Q740" i="4"/>
  <c r="P740" i="4"/>
  <c r="O740" i="4"/>
  <c r="N740" i="4"/>
  <c r="L740" i="4"/>
  <c r="K740" i="4"/>
  <c r="J740" i="4"/>
  <c r="I740" i="4"/>
  <c r="H740" i="4"/>
  <c r="G740" i="4"/>
  <c r="F740" i="4"/>
  <c r="E740" i="4"/>
  <c r="D740" i="4"/>
  <c r="C740" i="4"/>
  <c r="B740" i="4"/>
  <c r="A740" i="4"/>
  <c r="Q739" i="4"/>
  <c r="P739" i="4"/>
  <c r="O739" i="4"/>
  <c r="N739" i="4"/>
  <c r="L739" i="4"/>
  <c r="K739" i="4"/>
  <c r="J739" i="4"/>
  <c r="I739" i="4"/>
  <c r="H739" i="4"/>
  <c r="G739" i="4"/>
  <c r="F739" i="4"/>
  <c r="E739" i="4"/>
  <c r="D739" i="4"/>
  <c r="C739" i="4"/>
  <c r="B739" i="4"/>
  <c r="A739" i="4"/>
  <c r="Q738" i="4"/>
  <c r="P738" i="4"/>
  <c r="O738" i="4"/>
  <c r="N738" i="4"/>
  <c r="L738" i="4"/>
  <c r="K738" i="4"/>
  <c r="J738" i="4"/>
  <c r="I738" i="4"/>
  <c r="H738" i="4"/>
  <c r="G738" i="4"/>
  <c r="F738" i="4"/>
  <c r="E738" i="4"/>
  <c r="D738" i="4"/>
  <c r="C738" i="4"/>
  <c r="B738" i="4"/>
  <c r="A738" i="4"/>
  <c r="Q737" i="4"/>
  <c r="P737" i="4"/>
  <c r="O737" i="4"/>
  <c r="N737" i="4"/>
  <c r="L737" i="4"/>
  <c r="K737" i="4"/>
  <c r="J737" i="4"/>
  <c r="I737" i="4"/>
  <c r="H737" i="4"/>
  <c r="G737" i="4"/>
  <c r="F737" i="4"/>
  <c r="E737" i="4"/>
  <c r="D737" i="4"/>
  <c r="C737" i="4"/>
  <c r="B737" i="4"/>
  <c r="A737" i="4"/>
  <c r="Q736" i="4"/>
  <c r="P736" i="4"/>
  <c r="O736" i="4"/>
  <c r="N736" i="4"/>
  <c r="L736" i="4"/>
  <c r="K736" i="4"/>
  <c r="J736" i="4"/>
  <c r="I736" i="4"/>
  <c r="H736" i="4"/>
  <c r="G736" i="4"/>
  <c r="F736" i="4"/>
  <c r="E736" i="4"/>
  <c r="D736" i="4"/>
  <c r="C736" i="4"/>
  <c r="B736" i="4"/>
  <c r="A736" i="4"/>
  <c r="Q735" i="4"/>
  <c r="P735" i="4"/>
  <c r="O735" i="4"/>
  <c r="N735" i="4"/>
  <c r="L735" i="4"/>
  <c r="K735" i="4"/>
  <c r="J735" i="4"/>
  <c r="I735" i="4"/>
  <c r="H735" i="4"/>
  <c r="G735" i="4"/>
  <c r="F735" i="4"/>
  <c r="E735" i="4"/>
  <c r="D735" i="4"/>
  <c r="C735" i="4"/>
  <c r="B735" i="4"/>
  <c r="A735" i="4"/>
  <c r="Q734" i="4"/>
  <c r="P734" i="4"/>
  <c r="O734" i="4"/>
  <c r="N734" i="4"/>
  <c r="L734" i="4"/>
  <c r="K734" i="4"/>
  <c r="J734" i="4"/>
  <c r="I734" i="4"/>
  <c r="H734" i="4"/>
  <c r="G734" i="4"/>
  <c r="F734" i="4"/>
  <c r="E734" i="4"/>
  <c r="D734" i="4"/>
  <c r="C734" i="4"/>
  <c r="B734" i="4"/>
  <c r="A734" i="4"/>
  <c r="Q733" i="4"/>
  <c r="P733" i="4"/>
  <c r="O733" i="4"/>
  <c r="N733" i="4"/>
  <c r="L733" i="4"/>
  <c r="K733" i="4"/>
  <c r="J733" i="4"/>
  <c r="I733" i="4"/>
  <c r="H733" i="4"/>
  <c r="G733" i="4"/>
  <c r="F733" i="4"/>
  <c r="E733" i="4"/>
  <c r="D733" i="4"/>
  <c r="C733" i="4"/>
  <c r="B733" i="4"/>
  <c r="A733" i="4"/>
  <c r="Q732" i="4"/>
  <c r="P732" i="4"/>
  <c r="O732" i="4"/>
  <c r="N732" i="4"/>
  <c r="L732" i="4"/>
  <c r="K732" i="4"/>
  <c r="J732" i="4"/>
  <c r="I732" i="4"/>
  <c r="H732" i="4"/>
  <c r="G732" i="4"/>
  <c r="F732" i="4"/>
  <c r="E732" i="4"/>
  <c r="D732" i="4"/>
  <c r="C732" i="4"/>
  <c r="B732" i="4"/>
  <c r="A732" i="4"/>
  <c r="Q731" i="4"/>
  <c r="P731" i="4"/>
  <c r="O731" i="4"/>
  <c r="N731" i="4"/>
  <c r="L731" i="4"/>
  <c r="K731" i="4"/>
  <c r="J731" i="4"/>
  <c r="I731" i="4"/>
  <c r="H731" i="4"/>
  <c r="G731" i="4"/>
  <c r="F731" i="4"/>
  <c r="E731" i="4"/>
  <c r="D731" i="4"/>
  <c r="C731" i="4"/>
  <c r="B731" i="4"/>
  <c r="A731" i="4"/>
  <c r="Q730" i="4"/>
  <c r="P730" i="4"/>
  <c r="O730" i="4"/>
  <c r="N730" i="4"/>
  <c r="L730" i="4"/>
  <c r="K730" i="4"/>
  <c r="J730" i="4"/>
  <c r="I730" i="4"/>
  <c r="H730" i="4"/>
  <c r="G730" i="4"/>
  <c r="F730" i="4"/>
  <c r="E730" i="4"/>
  <c r="D730" i="4"/>
  <c r="C730" i="4"/>
  <c r="B730" i="4"/>
  <c r="A730" i="4"/>
  <c r="Q729" i="4"/>
  <c r="P729" i="4"/>
  <c r="O729" i="4"/>
  <c r="N729" i="4"/>
  <c r="L729" i="4"/>
  <c r="K729" i="4"/>
  <c r="J729" i="4"/>
  <c r="I729" i="4"/>
  <c r="H729" i="4"/>
  <c r="G729" i="4"/>
  <c r="F729" i="4"/>
  <c r="E729" i="4"/>
  <c r="D729" i="4"/>
  <c r="C729" i="4"/>
  <c r="B729" i="4"/>
  <c r="A729" i="4"/>
  <c r="Q728" i="4"/>
  <c r="P728" i="4"/>
  <c r="O728" i="4"/>
  <c r="N728" i="4"/>
  <c r="L728" i="4"/>
  <c r="K728" i="4"/>
  <c r="J728" i="4"/>
  <c r="I728" i="4"/>
  <c r="H728" i="4"/>
  <c r="G728" i="4"/>
  <c r="F728" i="4"/>
  <c r="E728" i="4"/>
  <c r="D728" i="4"/>
  <c r="C728" i="4"/>
  <c r="B728" i="4"/>
  <c r="A728" i="4"/>
  <c r="Q727" i="4"/>
  <c r="P727" i="4"/>
  <c r="O727" i="4"/>
  <c r="N727" i="4"/>
  <c r="L727" i="4"/>
  <c r="K727" i="4"/>
  <c r="J727" i="4"/>
  <c r="I727" i="4"/>
  <c r="H727" i="4"/>
  <c r="G727" i="4"/>
  <c r="F727" i="4"/>
  <c r="E727" i="4"/>
  <c r="D727" i="4"/>
  <c r="C727" i="4"/>
  <c r="B727" i="4"/>
  <c r="A727" i="4"/>
  <c r="Q726" i="4"/>
  <c r="P726" i="4"/>
  <c r="O726" i="4"/>
  <c r="N726" i="4"/>
  <c r="L726" i="4"/>
  <c r="K726" i="4"/>
  <c r="J726" i="4"/>
  <c r="I726" i="4"/>
  <c r="H726" i="4"/>
  <c r="G726" i="4"/>
  <c r="F726" i="4"/>
  <c r="E726" i="4"/>
  <c r="D726" i="4"/>
  <c r="C726" i="4"/>
  <c r="B726" i="4"/>
  <c r="A726" i="4"/>
  <c r="Q725" i="4"/>
  <c r="P725" i="4"/>
  <c r="O725" i="4"/>
  <c r="N725" i="4"/>
  <c r="L725" i="4"/>
  <c r="K725" i="4"/>
  <c r="J725" i="4"/>
  <c r="I725" i="4"/>
  <c r="H725" i="4"/>
  <c r="G725" i="4"/>
  <c r="F725" i="4"/>
  <c r="E725" i="4"/>
  <c r="D725" i="4"/>
  <c r="C725" i="4"/>
  <c r="B725" i="4"/>
  <c r="A725" i="4"/>
  <c r="Q724" i="4"/>
  <c r="P724" i="4"/>
  <c r="O724" i="4"/>
  <c r="N724" i="4"/>
  <c r="L724" i="4"/>
  <c r="K724" i="4"/>
  <c r="J724" i="4"/>
  <c r="I724" i="4"/>
  <c r="H724" i="4"/>
  <c r="G724" i="4"/>
  <c r="F724" i="4"/>
  <c r="E724" i="4"/>
  <c r="D724" i="4"/>
  <c r="C724" i="4"/>
  <c r="B724" i="4"/>
  <c r="A724" i="4"/>
  <c r="Q723" i="4"/>
  <c r="P723" i="4"/>
  <c r="O723" i="4"/>
  <c r="N723" i="4"/>
  <c r="L723" i="4"/>
  <c r="K723" i="4"/>
  <c r="J723" i="4"/>
  <c r="I723" i="4"/>
  <c r="H723" i="4"/>
  <c r="G723" i="4"/>
  <c r="F723" i="4"/>
  <c r="E723" i="4"/>
  <c r="D723" i="4"/>
  <c r="C723" i="4"/>
  <c r="B723" i="4"/>
  <c r="A723" i="4"/>
  <c r="Q722" i="4"/>
  <c r="P722" i="4"/>
  <c r="O722" i="4"/>
  <c r="N722" i="4"/>
  <c r="L722" i="4"/>
  <c r="K722" i="4"/>
  <c r="J722" i="4"/>
  <c r="I722" i="4"/>
  <c r="H722" i="4"/>
  <c r="G722" i="4"/>
  <c r="F722" i="4"/>
  <c r="E722" i="4"/>
  <c r="D722" i="4"/>
  <c r="C722" i="4"/>
  <c r="B722" i="4"/>
  <c r="A722" i="4"/>
  <c r="Q721" i="4"/>
  <c r="P721" i="4"/>
  <c r="O721" i="4"/>
  <c r="N721" i="4"/>
  <c r="L721" i="4"/>
  <c r="K721" i="4"/>
  <c r="J721" i="4"/>
  <c r="I721" i="4"/>
  <c r="H721" i="4"/>
  <c r="G721" i="4"/>
  <c r="F721" i="4"/>
  <c r="E721" i="4"/>
  <c r="D721" i="4"/>
  <c r="C721" i="4"/>
  <c r="B721" i="4"/>
  <c r="A721" i="4"/>
  <c r="Q720" i="4"/>
  <c r="P720" i="4"/>
  <c r="O720" i="4"/>
  <c r="N720" i="4"/>
  <c r="L720" i="4"/>
  <c r="K720" i="4"/>
  <c r="J720" i="4"/>
  <c r="I720" i="4"/>
  <c r="H720" i="4"/>
  <c r="G720" i="4"/>
  <c r="F720" i="4"/>
  <c r="E720" i="4"/>
  <c r="D720" i="4"/>
  <c r="C720" i="4"/>
  <c r="B720" i="4"/>
  <c r="A720" i="4"/>
  <c r="Q719" i="4"/>
  <c r="P719" i="4"/>
  <c r="O719" i="4"/>
  <c r="N719" i="4"/>
  <c r="L719" i="4"/>
  <c r="K719" i="4"/>
  <c r="J719" i="4"/>
  <c r="I719" i="4"/>
  <c r="H719" i="4"/>
  <c r="G719" i="4"/>
  <c r="F719" i="4"/>
  <c r="E719" i="4"/>
  <c r="D719" i="4"/>
  <c r="C719" i="4"/>
  <c r="B719" i="4"/>
  <c r="A719" i="4"/>
  <c r="Q718" i="4"/>
  <c r="P718" i="4"/>
  <c r="O718" i="4"/>
  <c r="N718" i="4"/>
  <c r="L718" i="4"/>
  <c r="K718" i="4"/>
  <c r="J718" i="4"/>
  <c r="I718" i="4"/>
  <c r="H718" i="4"/>
  <c r="G718" i="4"/>
  <c r="F718" i="4"/>
  <c r="E718" i="4"/>
  <c r="D718" i="4"/>
  <c r="C718" i="4"/>
  <c r="B718" i="4"/>
  <c r="A718" i="4"/>
  <c r="Q717" i="4"/>
  <c r="P717" i="4"/>
  <c r="O717" i="4"/>
  <c r="N717" i="4"/>
  <c r="L717" i="4"/>
  <c r="K717" i="4"/>
  <c r="J717" i="4"/>
  <c r="I717" i="4"/>
  <c r="H717" i="4"/>
  <c r="G717" i="4"/>
  <c r="F717" i="4"/>
  <c r="E717" i="4"/>
  <c r="D717" i="4"/>
  <c r="C717" i="4"/>
  <c r="B717" i="4"/>
  <c r="A717" i="4"/>
  <c r="Q716" i="4"/>
  <c r="P716" i="4"/>
  <c r="O716" i="4"/>
  <c r="N716" i="4"/>
  <c r="L716" i="4"/>
  <c r="K716" i="4"/>
  <c r="J716" i="4"/>
  <c r="I716" i="4"/>
  <c r="H716" i="4"/>
  <c r="G716" i="4"/>
  <c r="F716" i="4"/>
  <c r="E716" i="4"/>
  <c r="D716" i="4"/>
  <c r="C716" i="4"/>
  <c r="B716" i="4"/>
  <c r="A716" i="4"/>
  <c r="Q715" i="4"/>
  <c r="P715" i="4"/>
  <c r="O715" i="4"/>
  <c r="N715" i="4"/>
  <c r="L715" i="4"/>
  <c r="K715" i="4"/>
  <c r="J715" i="4"/>
  <c r="I715" i="4"/>
  <c r="H715" i="4"/>
  <c r="G715" i="4"/>
  <c r="F715" i="4"/>
  <c r="E715" i="4"/>
  <c r="D715" i="4"/>
  <c r="C715" i="4"/>
  <c r="B715" i="4"/>
  <c r="A715" i="4"/>
  <c r="Q714" i="4"/>
  <c r="P714" i="4"/>
  <c r="O714" i="4"/>
  <c r="N714" i="4"/>
  <c r="L714" i="4"/>
  <c r="K714" i="4"/>
  <c r="J714" i="4"/>
  <c r="I714" i="4"/>
  <c r="H714" i="4"/>
  <c r="G714" i="4"/>
  <c r="F714" i="4"/>
  <c r="E714" i="4"/>
  <c r="D714" i="4"/>
  <c r="C714" i="4"/>
  <c r="B714" i="4"/>
  <c r="A714" i="4"/>
  <c r="Q713" i="4"/>
  <c r="P713" i="4"/>
  <c r="O713" i="4"/>
  <c r="N713" i="4"/>
  <c r="L713" i="4"/>
  <c r="K713" i="4"/>
  <c r="J713" i="4"/>
  <c r="I713" i="4"/>
  <c r="H713" i="4"/>
  <c r="G713" i="4"/>
  <c r="F713" i="4"/>
  <c r="E713" i="4"/>
  <c r="D713" i="4"/>
  <c r="C713" i="4"/>
  <c r="B713" i="4"/>
  <c r="A713" i="4"/>
  <c r="Q712" i="4"/>
  <c r="P712" i="4"/>
  <c r="O712" i="4"/>
  <c r="N712" i="4"/>
  <c r="L712" i="4"/>
  <c r="K712" i="4"/>
  <c r="J712" i="4"/>
  <c r="I712" i="4"/>
  <c r="H712" i="4"/>
  <c r="G712" i="4"/>
  <c r="F712" i="4"/>
  <c r="E712" i="4"/>
  <c r="D712" i="4"/>
  <c r="C712" i="4"/>
  <c r="B712" i="4"/>
  <c r="A712" i="4"/>
  <c r="Q711" i="4"/>
  <c r="P711" i="4"/>
  <c r="O711" i="4"/>
  <c r="N711" i="4"/>
  <c r="L711" i="4"/>
  <c r="K711" i="4"/>
  <c r="J711" i="4"/>
  <c r="I711" i="4"/>
  <c r="H711" i="4"/>
  <c r="G711" i="4"/>
  <c r="F711" i="4"/>
  <c r="E711" i="4"/>
  <c r="D711" i="4"/>
  <c r="C711" i="4"/>
  <c r="B711" i="4"/>
  <c r="A711" i="4"/>
  <c r="Q710" i="4"/>
  <c r="P710" i="4"/>
  <c r="O710" i="4"/>
  <c r="N710" i="4"/>
  <c r="L710" i="4"/>
  <c r="K710" i="4"/>
  <c r="J710" i="4"/>
  <c r="I710" i="4"/>
  <c r="H710" i="4"/>
  <c r="G710" i="4"/>
  <c r="F710" i="4"/>
  <c r="E710" i="4"/>
  <c r="D710" i="4"/>
  <c r="C710" i="4"/>
  <c r="B710" i="4"/>
  <c r="A710" i="4"/>
  <c r="Q709" i="4"/>
  <c r="P709" i="4"/>
  <c r="O709" i="4"/>
  <c r="N709" i="4"/>
  <c r="L709" i="4"/>
  <c r="K709" i="4"/>
  <c r="J709" i="4"/>
  <c r="I709" i="4"/>
  <c r="H709" i="4"/>
  <c r="G709" i="4"/>
  <c r="F709" i="4"/>
  <c r="E709" i="4"/>
  <c r="D709" i="4"/>
  <c r="C709" i="4"/>
  <c r="B709" i="4"/>
  <c r="A709" i="4"/>
  <c r="Q708" i="4"/>
  <c r="P708" i="4"/>
  <c r="O708" i="4"/>
  <c r="N708" i="4"/>
  <c r="L708" i="4"/>
  <c r="K708" i="4"/>
  <c r="J708" i="4"/>
  <c r="I708" i="4"/>
  <c r="H708" i="4"/>
  <c r="G708" i="4"/>
  <c r="F708" i="4"/>
  <c r="E708" i="4"/>
  <c r="D708" i="4"/>
  <c r="C708" i="4"/>
  <c r="B708" i="4"/>
  <c r="A708" i="4"/>
  <c r="Q707" i="4"/>
  <c r="P707" i="4"/>
  <c r="O707" i="4"/>
  <c r="N707" i="4"/>
  <c r="L707" i="4"/>
  <c r="K707" i="4"/>
  <c r="J707" i="4"/>
  <c r="I707" i="4"/>
  <c r="H707" i="4"/>
  <c r="G707" i="4"/>
  <c r="F707" i="4"/>
  <c r="E707" i="4"/>
  <c r="D707" i="4"/>
  <c r="C707" i="4"/>
  <c r="B707" i="4"/>
  <c r="A707" i="4"/>
  <c r="Q706" i="4"/>
  <c r="P706" i="4"/>
  <c r="O706" i="4"/>
  <c r="N706" i="4"/>
  <c r="L706" i="4"/>
  <c r="K706" i="4"/>
  <c r="J706" i="4"/>
  <c r="I706" i="4"/>
  <c r="H706" i="4"/>
  <c r="G706" i="4"/>
  <c r="F706" i="4"/>
  <c r="E706" i="4"/>
  <c r="D706" i="4"/>
  <c r="C706" i="4"/>
  <c r="B706" i="4"/>
  <c r="A706" i="4"/>
  <c r="Q705" i="4"/>
  <c r="P705" i="4"/>
  <c r="O705" i="4"/>
  <c r="N705" i="4"/>
  <c r="L705" i="4"/>
  <c r="K705" i="4"/>
  <c r="J705" i="4"/>
  <c r="I705" i="4"/>
  <c r="H705" i="4"/>
  <c r="G705" i="4"/>
  <c r="F705" i="4"/>
  <c r="E705" i="4"/>
  <c r="D705" i="4"/>
  <c r="C705" i="4"/>
  <c r="B705" i="4"/>
  <c r="A705" i="4"/>
  <c r="Q704" i="4"/>
  <c r="P704" i="4"/>
  <c r="O704" i="4"/>
  <c r="N704" i="4"/>
  <c r="L704" i="4"/>
  <c r="K704" i="4"/>
  <c r="J704" i="4"/>
  <c r="I704" i="4"/>
  <c r="H704" i="4"/>
  <c r="G704" i="4"/>
  <c r="F704" i="4"/>
  <c r="E704" i="4"/>
  <c r="D704" i="4"/>
  <c r="C704" i="4"/>
  <c r="B704" i="4"/>
  <c r="A704" i="4"/>
  <c r="Q703" i="4"/>
  <c r="P703" i="4"/>
  <c r="O703" i="4"/>
  <c r="N703" i="4"/>
  <c r="L703" i="4"/>
  <c r="K703" i="4"/>
  <c r="J703" i="4"/>
  <c r="I703" i="4"/>
  <c r="H703" i="4"/>
  <c r="G703" i="4"/>
  <c r="F703" i="4"/>
  <c r="E703" i="4"/>
  <c r="D703" i="4"/>
  <c r="C703" i="4"/>
  <c r="B703" i="4"/>
  <c r="A703" i="4"/>
  <c r="Q702" i="4"/>
  <c r="P702" i="4"/>
  <c r="O702" i="4"/>
  <c r="N702" i="4"/>
  <c r="L702" i="4"/>
  <c r="K702" i="4"/>
  <c r="J702" i="4"/>
  <c r="I702" i="4"/>
  <c r="H702" i="4"/>
  <c r="G702" i="4"/>
  <c r="F702" i="4"/>
  <c r="E702" i="4"/>
  <c r="D702" i="4"/>
  <c r="C702" i="4"/>
  <c r="B702" i="4"/>
  <c r="A702" i="4"/>
  <c r="Q701" i="4"/>
  <c r="P701" i="4"/>
  <c r="O701" i="4"/>
  <c r="N701" i="4"/>
  <c r="L701" i="4"/>
  <c r="K701" i="4"/>
  <c r="J701" i="4"/>
  <c r="I701" i="4"/>
  <c r="H701" i="4"/>
  <c r="G701" i="4"/>
  <c r="F701" i="4"/>
  <c r="E701" i="4"/>
  <c r="D701" i="4"/>
  <c r="C701" i="4"/>
  <c r="B701" i="4"/>
  <c r="A701" i="4"/>
  <c r="Q700" i="4"/>
  <c r="P700" i="4"/>
  <c r="O700" i="4"/>
  <c r="N700" i="4"/>
  <c r="L700" i="4"/>
  <c r="K700" i="4"/>
  <c r="J700" i="4"/>
  <c r="I700" i="4"/>
  <c r="H700" i="4"/>
  <c r="G700" i="4"/>
  <c r="F700" i="4"/>
  <c r="E700" i="4"/>
  <c r="D700" i="4"/>
  <c r="C700" i="4"/>
  <c r="B700" i="4"/>
  <c r="A700" i="4"/>
  <c r="Q699" i="4"/>
  <c r="P699" i="4"/>
  <c r="O699" i="4"/>
  <c r="N699" i="4"/>
  <c r="L699" i="4"/>
  <c r="K699" i="4"/>
  <c r="J699" i="4"/>
  <c r="I699" i="4"/>
  <c r="H699" i="4"/>
  <c r="G699" i="4"/>
  <c r="F699" i="4"/>
  <c r="E699" i="4"/>
  <c r="D699" i="4"/>
  <c r="C699" i="4"/>
  <c r="B699" i="4"/>
  <c r="A699" i="4"/>
  <c r="Q698" i="4"/>
  <c r="P698" i="4"/>
  <c r="O698" i="4"/>
  <c r="N698" i="4"/>
  <c r="L698" i="4"/>
  <c r="K698" i="4"/>
  <c r="J698" i="4"/>
  <c r="I698" i="4"/>
  <c r="H698" i="4"/>
  <c r="G698" i="4"/>
  <c r="F698" i="4"/>
  <c r="E698" i="4"/>
  <c r="D698" i="4"/>
  <c r="C698" i="4"/>
  <c r="B698" i="4"/>
  <c r="A698" i="4"/>
  <c r="Q697" i="4"/>
  <c r="P697" i="4"/>
  <c r="O697" i="4"/>
  <c r="N697" i="4"/>
  <c r="L697" i="4"/>
  <c r="K697" i="4"/>
  <c r="J697" i="4"/>
  <c r="I697" i="4"/>
  <c r="H697" i="4"/>
  <c r="G697" i="4"/>
  <c r="F697" i="4"/>
  <c r="E697" i="4"/>
  <c r="D697" i="4"/>
  <c r="C697" i="4"/>
  <c r="B697" i="4"/>
  <c r="A697" i="4"/>
  <c r="Q696" i="4"/>
  <c r="P696" i="4"/>
  <c r="O696" i="4"/>
  <c r="N696" i="4"/>
  <c r="L696" i="4"/>
  <c r="K696" i="4"/>
  <c r="J696" i="4"/>
  <c r="I696" i="4"/>
  <c r="H696" i="4"/>
  <c r="G696" i="4"/>
  <c r="F696" i="4"/>
  <c r="E696" i="4"/>
  <c r="D696" i="4"/>
  <c r="C696" i="4"/>
  <c r="B696" i="4"/>
  <c r="A696" i="4"/>
  <c r="Q695" i="4"/>
  <c r="P695" i="4"/>
  <c r="O695" i="4"/>
  <c r="N695" i="4"/>
  <c r="L695" i="4"/>
  <c r="K695" i="4"/>
  <c r="J695" i="4"/>
  <c r="I695" i="4"/>
  <c r="H695" i="4"/>
  <c r="G695" i="4"/>
  <c r="F695" i="4"/>
  <c r="E695" i="4"/>
  <c r="D695" i="4"/>
  <c r="C695" i="4"/>
  <c r="B695" i="4"/>
  <c r="A695" i="4"/>
  <c r="Q694" i="4"/>
  <c r="P694" i="4"/>
  <c r="O694" i="4"/>
  <c r="N694" i="4"/>
  <c r="L694" i="4"/>
  <c r="K694" i="4"/>
  <c r="J694" i="4"/>
  <c r="I694" i="4"/>
  <c r="H694" i="4"/>
  <c r="G694" i="4"/>
  <c r="F694" i="4"/>
  <c r="E694" i="4"/>
  <c r="D694" i="4"/>
  <c r="C694" i="4"/>
  <c r="B694" i="4"/>
  <c r="A694" i="4"/>
  <c r="Q693" i="4"/>
  <c r="P693" i="4"/>
  <c r="O693" i="4"/>
  <c r="N693" i="4"/>
  <c r="L693" i="4"/>
  <c r="K693" i="4"/>
  <c r="J693" i="4"/>
  <c r="I693" i="4"/>
  <c r="H693" i="4"/>
  <c r="G693" i="4"/>
  <c r="F693" i="4"/>
  <c r="E693" i="4"/>
  <c r="D693" i="4"/>
  <c r="C693" i="4"/>
  <c r="B693" i="4"/>
  <c r="A693" i="4"/>
  <c r="Q692" i="4"/>
  <c r="P692" i="4"/>
  <c r="O692" i="4"/>
  <c r="N692" i="4"/>
  <c r="L692" i="4"/>
  <c r="K692" i="4"/>
  <c r="J692" i="4"/>
  <c r="I692" i="4"/>
  <c r="H692" i="4"/>
  <c r="G692" i="4"/>
  <c r="F692" i="4"/>
  <c r="E692" i="4"/>
  <c r="D692" i="4"/>
  <c r="C692" i="4"/>
  <c r="B692" i="4"/>
  <c r="A692" i="4"/>
  <c r="Q691" i="4"/>
  <c r="P691" i="4"/>
  <c r="O691" i="4"/>
  <c r="N691" i="4"/>
  <c r="L691" i="4"/>
  <c r="K691" i="4"/>
  <c r="J691" i="4"/>
  <c r="I691" i="4"/>
  <c r="H691" i="4"/>
  <c r="G691" i="4"/>
  <c r="F691" i="4"/>
  <c r="E691" i="4"/>
  <c r="D691" i="4"/>
  <c r="C691" i="4"/>
  <c r="B691" i="4"/>
  <c r="A691" i="4"/>
  <c r="Q690" i="4"/>
  <c r="P690" i="4"/>
  <c r="O690" i="4"/>
  <c r="N690" i="4"/>
  <c r="L690" i="4"/>
  <c r="K690" i="4"/>
  <c r="J690" i="4"/>
  <c r="I690" i="4"/>
  <c r="H690" i="4"/>
  <c r="G690" i="4"/>
  <c r="F690" i="4"/>
  <c r="E690" i="4"/>
  <c r="D690" i="4"/>
  <c r="C690" i="4"/>
  <c r="B690" i="4"/>
  <c r="A690" i="4"/>
  <c r="Q689" i="4"/>
  <c r="P689" i="4"/>
  <c r="O689" i="4"/>
  <c r="N689" i="4"/>
  <c r="L689" i="4"/>
  <c r="K689" i="4"/>
  <c r="J689" i="4"/>
  <c r="I689" i="4"/>
  <c r="H689" i="4"/>
  <c r="G689" i="4"/>
  <c r="F689" i="4"/>
  <c r="E689" i="4"/>
  <c r="D689" i="4"/>
  <c r="C689" i="4"/>
  <c r="B689" i="4"/>
  <c r="A689" i="4"/>
  <c r="Q688" i="4"/>
  <c r="P688" i="4"/>
  <c r="O688" i="4"/>
  <c r="N688" i="4"/>
  <c r="L688" i="4"/>
  <c r="K688" i="4"/>
  <c r="J688" i="4"/>
  <c r="I688" i="4"/>
  <c r="H688" i="4"/>
  <c r="G688" i="4"/>
  <c r="F688" i="4"/>
  <c r="E688" i="4"/>
  <c r="D688" i="4"/>
  <c r="C688" i="4"/>
  <c r="B688" i="4"/>
  <c r="A688" i="4"/>
  <c r="Q687" i="4"/>
  <c r="P687" i="4"/>
  <c r="O687" i="4"/>
  <c r="N687" i="4"/>
  <c r="L687" i="4"/>
  <c r="K687" i="4"/>
  <c r="J687" i="4"/>
  <c r="I687" i="4"/>
  <c r="H687" i="4"/>
  <c r="G687" i="4"/>
  <c r="F687" i="4"/>
  <c r="E687" i="4"/>
  <c r="D687" i="4"/>
  <c r="C687" i="4"/>
  <c r="B687" i="4"/>
  <c r="A687" i="4"/>
  <c r="Q686" i="4"/>
  <c r="P686" i="4"/>
  <c r="O686" i="4"/>
  <c r="N686" i="4"/>
  <c r="L686" i="4"/>
  <c r="K686" i="4"/>
  <c r="J686" i="4"/>
  <c r="I686" i="4"/>
  <c r="H686" i="4"/>
  <c r="G686" i="4"/>
  <c r="F686" i="4"/>
  <c r="E686" i="4"/>
  <c r="D686" i="4"/>
  <c r="C686" i="4"/>
  <c r="B686" i="4"/>
  <c r="A686" i="4"/>
  <c r="Q685" i="4"/>
  <c r="P685" i="4"/>
  <c r="O685" i="4"/>
  <c r="N685" i="4"/>
  <c r="L685" i="4"/>
  <c r="K685" i="4"/>
  <c r="J685" i="4"/>
  <c r="I685" i="4"/>
  <c r="H685" i="4"/>
  <c r="G685" i="4"/>
  <c r="F685" i="4"/>
  <c r="E685" i="4"/>
  <c r="D685" i="4"/>
  <c r="C685" i="4"/>
  <c r="B685" i="4"/>
  <c r="A685" i="4"/>
  <c r="Q684" i="4"/>
  <c r="P684" i="4"/>
  <c r="O684" i="4"/>
  <c r="N684" i="4"/>
  <c r="L684" i="4"/>
  <c r="K684" i="4"/>
  <c r="J684" i="4"/>
  <c r="I684" i="4"/>
  <c r="H684" i="4"/>
  <c r="G684" i="4"/>
  <c r="F684" i="4"/>
  <c r="E684" i="4"/>
  <c r="D684" i="4"/>
  <c r="C684" i="4"/>
  <c r="B684" i="4"/>
  <c r="A684" i="4"/>
  <c r="Q683" i="4"/>
  <c r="P683" i="4"/>
  <c r="O683" i="4"/>
  <c r="N683" i="4"/>
  <c r="L683" i="4"/>
  <c r="K683" i="4"/>
  <c r="J683" i="4"/>
  <c r="I683" i="4"/>
  <c r="H683" i="4"/>
  <c r="G683" i="4"/>
  <c r="F683" i="4"/>
  <c r="E683" i="4"/>
  <c r="D683" i="4"/>
  <c r="C683" i="4"/>
  <c r="B683" i="4"/>
  <c r="A683" i="4"/>
  <c r="Q682" i="4"/>
  <c r="P682" i="4"/>
  <c r="O682" i="4"/>
  <c r="N682" i="4"/>
  <c r="L682" i="4"/>
  <c r="K682" i="4"/>
  <c r="J682" i="4"/>
  <c r="I682" i="4"/>
  <c r="H682" i="4"/>
  <c r="G682" i="4"/>
  <c r="F682" i="4"/>
  <c r="E682" i="4"/>
  <c r="D682" i="4"/>
  <c r="C682" i="4"/>
  <c r="B682" i="4"/>
  <c r="A682" i="4"/>
  <c r="Q681" i="4"/>
  <c r="P681" i="4"/>
  <c r="O681" i="4"/>
  <c r="N681" i="4"/>
  <c r="L681" i="4"/>
  <c r="K681" i="4"/>
  <c r="J681" i="4"/>
  <c r="I681" i="4"/>
  <c r="H681" i="4"/>
  <c r="G681" i="4"/>
  <c r="F681" i="4"/>
  <c r="E681" i="4"/>
  <c r="D681" i="4"/>
  <c r="C681" i="4"/>
  <c r="B681" i="4"/>
  <c r="A681" i="4"/>
  <c r="Q680" i="4"/>
  <c r="P680" i="4"/>
  <c r="O680" i="4"/>
  <c r="N680" i="4"/>
  <c r="L680" i="4"/>
  <c r="K680" i="4"/>
  <c r="J680" i="4"/>
  <c r="I680" i="4"/>
  <c r="H680" i="4"/>
  <c r="G680" i="4"/>
  <c r="F680" i="4"/>
  <c r="E680" i="4"/>
  <c r="D680" i="4"/>
  <c r="C680" i="4"/>
  <c r="B680" i="4"/>
  <c r="A680" i="4"/>
  <c r="Q679" i="4"/>
  <c r="P679" i="4"/>
  <c r="O679" i="4"/>
  <c r="N679" i="4"/>
  <c r="L679" i="4"/>
  <c r="K679" i="4"/>
  <c r="J679" i="4"/>
  <c r="I679" i="4"/>
  <c r="H679" i="4"/>
  <c r="G679" i="4"/>
  <c r="F679" i="4"/>
  <c r="E679" i="4"/>
  <c r="D679" i="4"/>
  <c r="C679" i="4"/>
  <c r="B679" i="4"/>
  <c r="A679" i="4"/>
  <c r="Q678" i="4"/>
  <c r="P678" i="4"/>
  <c r="O678" i="4"/>
  <c r="N678" i="4"/>
  <c r="L678" i="4"/>
  <c r="K678" i="4"/>
  <c r="J678" i="4"/>
  <c r="I678" i="4"/>
  <c r="H678" i="4"/>
  <c r="G678" i="4"/>
  <c r="F678" i="4"/>
  <c r="E678" i="4"/>
  <c r="D678" i="4"/>
  <c r="C678" i="4"/>
  <c r="B678" i="4"/>
  <c r="A678" i="4"/>
  <c r="Q677" i="4"/>
  <c r="P677" i="4"/>
  <c r="O677" i="4"/>
  <c r="N677" i="4"/>
  <c r="L677" i="4"/>
  <c r="K677" i="4"/>
  <c r="J677" i="4"/>
  <c r="I677" i="4"/>
  <c r="H677" i="4"/>
  <c r="G677" i="4"/>
  <c r="F677" i="4"/>
  <c r="E677" i="4"/>
  <c r="D677" i="4"/>
  <c r="C677" i="4"/>
  <c r="B677" i="4"/>
  <c r="A677" i="4"/>
  <c r="Q676" i="4"/>
  <c r="P676" i="4"/>
  <c r="O676" i="4"/>
  <c r="N676" i="4"/>
  <c r="L676" i="4"/>
  <c r="K676" i="4"/>
  <c r="J676" i="4"/>
  <c r="I676" i="4"/>
  <c r="H676" i="4"/>
  <c r="G676" i="4"/>
  <c r="F676" i="4"/>
  <c r="E676" i="4"/>
  <c r="D676" i="4"/>
  <c r="C676" i="4"/>
  <c r="B676" i="4"/>
  <c r="A676" i="4"/>
  <c r="Q675" i="4"/>
  <c r="P675" i="4"/>
  <c r="O675" i="4"/>
  <c r="N675" i="4"/>
  <c r="L675" i="4"/>
  <c r="K675" i="4"/>
  <c r="J675" i="4"/>
  <c r="I675" i="4"/>
  <c r="H675" i="4"/>
  <c r="G675" i="4"/>
  <c r="F675" i="4"/>
  <c r="E675" i="4"/>
  <c r="D675" i="4"/>
  <c r="C675" i="4"/>
  <c r="B675" i="4"/>
  <c r="A675" i="4"/>
  <c r="Q674" i="4"/>
  <c r="P674" i="4"/>
  <c r="O674" i="4"/>
  <c r="N674" i="4"/>
  <c r="L674" i="4"/>
  <c r="K674" i="4"/>
  <c r="J674" i="4"/>
  <c r="I674" i="4"/>
  <c r="H674" i="4"/>
  <c r="G674" i="4"/>
  <c r="F674" i="4"/>
  <c r="E674" i="4"/>
  <c r="D674" i="4"/>
  <c r="C674" i="4"/>
  <c r="B674" i="4"/>
  <c r="A674" i="4"/>
  <c r="Q673" i="4"/>
  <c r="P673" i="4"/>
  <c r="O673" i="4"/>
  <c r="N673" i="4"/>
  <c r="L673" i="4"/>
  <c r="K673" i="4"/>
  <c r="J673" i="4"/>
  <c r="I673" i="4"/>
  <c r="H673" i="4"/>
  <c r="G673" i="4"/>
  <c r="F673" i="4"/>
  <c r="E673" i="4"/>
  <c r="D673" i="4"/>
  <c r="C673" i="4"/>
  <c r="B673" i="4"/>
  <c r="A673" i="4"/>
  <c r="Q672" i="4"/>
  <c r="P672" i="4"/>
  <c r="O672" i="4"/>
  <c r="N672" i="4"/>
  <c r="L672" i="4"/>
  <c r="K672" i="4"/>
  <c r="J672" i="4"/>
  <c r="I672" i="4"/>
  <c r="H672" i="4"/>
  <c r="G672" i="4"/>
  <c r="F672" i="4"/>
  <c r="E672" i="4"/>
  <c r="D672" i="4"/>
  <c r="C672" i="4"/>
  <c r="B672" i="4"/>
  <c r="A672" i="4"/>
  <c r="Q671" i="4"/>
  <c r="P671" i="4"/>
  <c r="O671" i="4"/>
  <c r="N671" i="4"/>
  <c r="L671" i="4"/>
  <c r="K671" i="4"/>
  <c r="J671" i="4"/>
  <c r="I671" i="4"/>
  <c r="H671" i="4"/>
  <c r="G671" i="4"/>
  <c r="F671" i="4"/>
  <c r="E671" i="4"/>
  <c r="D671" i="4"/>
  <c r="C671" i="4"/>
  <c r="B671" i="4"/>
  <c r="A671" i="4"/>
  <c r="Q670" i="4"/>
  <c r="P670" i="4"/>
  <c r="O670" i="4"/>
  <c r="N670" i="4"/>
  <c r="L670" i="4"/>
  <c r="K670" i="4"/>
  <c r="J670" i="4"/>
  <c r="I670" i="4"/>
  <c r="H670" i="4"/>
  <c r="G670" i="4"/>
  <c r="F670" i="4"/>
  <c r="E670" i="4"/>
  <c r="D670" i="4"/>
  <c r="C670" i="4"/>
  <c r="B670" i="4"/>
  <c r="A670" i="4"/>
  <c r="Q669" i="4"/>
  <c r="P669" i="4"/>
  <c r="O669" i="4"/>
  <c r="N669" i="4"/>
  <c r="L669" i="4"/>
  <c r="K669" i="4"/>
  <c r="J669" i="4"/>
  <c r="I669" i="4"/>
  <c r="H669" i="4"/>
  <c r="G669" i="4"/>
  <c r="F669" i="4"/>
  <c r="E669" i="4"/>
  <c r="D669" i="4"/>
  <c r="C669" i="4"/>
  <c r="B669" i="4"/>
  <c r="A669" i="4"/>
  <c r="Q668" i="4"/>
  <c r="P668" i="4"/>
  <c r="O668" i="4"/>
  <c r="N668" i="4"/>
  <c r="L668" i="4"/>
  <c r="K668" i="4"/>
  <c r="J668" i="4"/>
  <c r="I668" i="4"/>
  <c r="H668" i="4"/>
  <c r="G668" i="4"/>
  <c r="F668" i="4"/>
  <c r="E668" i="4"/>
  <c r="D668" i="4"/>
  <c r="C668" i="4"/>
  <c r="B668" i="4"/>
  <c r="A668" i="4"/>
  <c r="Q667" i="4"/>
  <c r="P667" i="4"/>
  <c r="O667" i="4"/>
  <c r="N667" i="4"/>
  <c r="L667" i="4"/>
  <c r="K667" i="4"/>
  <c r="J667" i="4"/>
  <c r="I667" i="4"/>
  <c r="H667" i="4"/>
  <c r="G667" i="4"/>
  <c r="F667" i="4"/>
  <c r="E667" i="4"/>
  <c r="D667" i="4"/>
  <c r="C667" i="4"/>
  <c r="B667" i="4"/>
  <c r="A667" i="4"/>
  <c r="Q666" i="4"/>
  <c r="P666" i="4"/>
  <c r="O666" i="4"/>
  <c r="N666" i="4"/>
  <c r="L666" i="4"/>
  <c r="K666" i="4"/>
  <c r="J666" i="4"/>
  <c r="I666" i="4"/>
  <c r="H666" i="4"/>
  <c r="G666" i="4"/>
  <c r="F666" i="4"/>
  <c r="E666" i="4"/>
  <c r="D666" i="4"/>
  <c r="C666" i="4"/>
  <c r="B666" i="4"/>
  <c r="A666" i="4"/>
  <c r="Q665" i="4"/>
  <c r="P665" i="4"/>
  <c r="O665" i="4"/>
  <c r="N665" i="4"/>
  <c r="L665" i="4"/>
  <c r="K665" i="4"/>
  <c r="J665" i="4"/>
  <c r="I665" i="4"/>
  <c r="H665" i="4"/>
  <c r="G665" i="4"/>
  <c r="F665" i="4"/>
  <c r="E665" i="4"/>
  <c r="D665" i="4"/>
  <c r="C665" i="4"/>
  <c r="B665" i="4"/>
  <c r="A665" i="4"/>
  <c r="Q664" i="4"/>
  <c r="P664" i="4"/>
  <c r="O664" i="4"/>
  <c r="N664" i="4"/>
  <c r="L664" i="4"/>
  <c r="K664" i="4"/>
  <c r="J664" i="4"/>
  <c r="I664" i="4"/>
  <c r="H664" i="4"/>
  <c r="G664" i="4"/>
  <c r="F664" i="4"/>
  <c r="E664" i="4"/>
  <c r="D664" i="4"/>
  <c r="C664" i="4"/>
  <c r="B664" i="4"/>
  <c r="A664" i="4"/>
  <c r="Q663" i="4"/>
  <c r="P663" i="4"/>
  <c r="O663" i="4"/>
  <c r="N663" i="4"/>
  <c r="L663" i="4"/>
  <c r="K663" i="4"/>
  <c r="J663" i="4"/>
  <c r="I663" i="4"/>
  <c r="H663" i="4"/>
  <c r="G663" i="4"/>
  <c r="F663" i="4"/>
  <c r="E663" i="4"/>
  <c r="D663" i="4"/>
  <c r="C663" i="4"/>
  <c r="B663" i="4"/>
  <c r="A663" i="4"/>
  <c r="Q662" i="4"/>
  <c r="P662" i="4"/>
  <c r="O662" i="4"/>
  <c r="N662" i="4"/>
  <c r="L662" i="4"/>
  <c r="K662" i="4"/>
  <c r="J662" i="4"/>
  <c r="I662" i="4"/>
  <c r="H662" i="4"/>
  <c r="G662" i="4"/>
  <c r="F662" i="4"/>
  <c r="E662" i="4"/>
  <c r="D662" i="4"/>
  <c r="C662" i="4"/>
  <c r="B662" i="4"/>
  <c r="A662" i="4"/>
  <c r="Q661" i="4"/>
  <c r="P661" i="4"/>
  <c r="O661" i="4"/>
  <c r="N661" i="4"/>
  <c r="L661" i="4"/>
  <c r="K661" i="4"/>
  <c r="J661" i="4"/>
  <c r="I661" i="4"/>
  <c r="H661" i="4"/>
  <c r="G661" i="4"/>
  <c r="F661" i="4"/>
  <c r="E661" i="4"/>
  <c r="D661" i="4"/>
  <c r="C661" i="4"/>
  <c r="B661" i="4"/>
  <c r="A661" i="4"/>
  <c r="Q660" i="4"/>
  <c r="P660" i="4"/>
  <c r="O660" i="4"/>
  <c r="N660" i="4"/>
  <c r="L660" i="4"/>
  <c r="K660" i="4"/>
  <c r="J660" i="4"/>
  <c r="I660" i="4"/>
  <c r="H660" i="4"/>
  <c r="G660" i="4"/>
  <c r="F660" i="4"/>
  <c r="E660" i="4"/>
  <c r="D660" i="4"/>
  <c r="C660" i="4"/>
  <c r="B660" i="4"/>
  <c r="A660" i="4"/>
  <c r="Q659" i="4"/>
  <c r="P659" i="4"/>
  <c r="O659" i="4"/>
  <c r="N659" i="4"/>
  <c r="L659" i="4"/>
  <c r="K659" i="4"/>
  <c r="J659" i="4"/>
  <c r="I659" i="4"/>
  <c r="H659" i="4"/>
  <c r="G659" i="4"/>
  <c r="F659" i="4"/>
  <c r="E659" i="4"/>
  <c r="D659" i="4"/>
  <c r="C659" i="4"/>
  <c r="B659" i="4"/>
  <c r="A659" i="4"/>
  <c r="Q658" i="4"/>
  <c r="P658" i="4"/>
  <c r="O658" i="4"/>
  <c r="N658" i="4"/>
  <c r="L658" i="4"/>
  <c r="K658" i="4"/>
  <c r="J658" i="4"/>
  <c r="I658" i="4"/>
  <c r="H658" i="4"/>
  <c r="G658" i="4"/>
  <c r="F658" i="4"/>
  <c r="E658" i="4"/>
  <c r="D658" i="4"/>
  <c r="C658" i="4"/>
  <c r="B658" i="4"/>
  <c r="A658" i="4"/>
  <c r="Q657" i="4"/>
  <c r="P657" i="4"/>
  <c r="O657" i="4"/>
  <c r="N657" i="4"/>
  <c r="L657" i="4"/>
  <c r="K657" i="4"/>
  <c r="J657" i="4"/>
  <c r="I657" i="4"/>
  <c r="H657" i="4"/>
  <c r="G657" i="4"/>
  <c r="F657" i="4"/>
  <c r="E657" i="4"/>
  <c r="D657" i="4"/>
  <c r="C657" i="4"/>
  <c r="B657" i="4"/>
  <c r="A657" i="4"/>
  <c r="Q656" i="4"/>
  <c r="P656" i="4"/>
  <c r="O656" i="4"/>
  <c r="N656" i="4"/>
  <c r="L656" i="4"/>
  <c r="K656" i="4"/>
  <c r="J656" i="4"/>
  <c r="I656" i="4"/>
  <c r="H656" i="4"/>
  <c r="G656" i="4"/>
  <c r="F656" i="4"/>
  <c r="E656" i="4"/>
  <c r="D656" i="4"/>
  <c r="C656" i="4"/>
  <c r="B656" i="4"/>
  <c r="A656" i="4"/>
  <c r="Q655" i="4"/>
  <c r="P655" i="4"/>
  <c r="O655" i="4"/>
  <c r="N655" i="4"/>
  <c r="L655" i="4"/>
  <c r="K655" i="4"/>
  <c r="J655" i="4"/>
  <c r="I655" i="4"/>
  <c r="H655" i="4"/>
  <c r="G655" i="4"/>
  <c r="F655" i="4"/>
  <c r="E655" i="4"/>
  <c r="D655" i="4"/>
  <c r="C655" i="4"/>
  <c r="B655" i="4"/>
  <c r="A655" i="4"/>
  <c r="Q654" i="4"/>
  <c r="P654" i="4"/>
  <c r="O654" i="4"/>
  <c r="N654" i="4"/>
  <c r="L654" i="4"/>
  <c r="K654" i="4"/>
  <c r="J654" i="4"/>
  <c r="I654" i="4"/>
  <c r="H654" i="4"/>
  <c r="G654" i="4"/>
  <c r="F654" i="4"/>
  <c r="E654" i="4"/>
  <c r="D654" i="4"/>
  <c r="C654" i="4"/>
  <c r="B654" i="4"/>
  <c r="A654" i="4"/>
  <c r="Q653" i="4"/>
  <c r="P653" i="4"/>
  <c r="O653" i="4"/>
  <c r="N653" i="4"/>
  <c r="L653" i="4"/>
  <c r="K653" i="4"/>
  <c r="J653" i="4"/>
  <c r="I653" i="4"/>
  <c r="H653" i="4"/>
  <c r="G653" i="4"/>
  <c r="F653" i="4"/>
  <c r="E653" i="4"/>
  <c r="D653" i="4"/>
  <c r="C653" i="4"/>
  <c r="B653" i="4"/>
  <c r="A653" i="4"/>
  <c r="Q652" i="4"/>
  <c r="P652" i="4"/>
  <c r="O652" i="4"/>
  <c r="N652" i="4"/>
  <c r="L652" i="4"/>
  <c r="K652" i="4"/>
  <c r="J652" i="4"/>
  <c r="I652" i="4"/>
  <c r="H652" i="4"/>
  <c r="G652" i="4"/>
  <c r="F652" i="4"/>
  <c r="E652" i="4"/>
  <c r="D652" i="4"/>
  <c r="C652" i="4"/>
  <c r="B652" i="4"/>
  <c r="A652" i="4"/>
  <c r="Q651" i="4"/>
  <c r="P651" i="4"/>
  <c r="O651" i="4"/>
  <c r="N651" i="4"/>
  <c r="L651" i="4"/>
  <c r="K651" i="4"/>
  <c r="J651" i="4"/>
  <c r="I651" i="4"/>
  <c r="H651" i="4"/>
  <c r="G651" i="4"/>
  <c r="F651" i="4"/>
  <c r="E651" i="4"/>
  <c r="D651" i="4"/>
  <c r="C651" i="4"/>
  <c r="B651" i="4"/>
  <c r="A651" i="4"/>
  <c r="Q650" i="4"/>
  <c r="P650" i="4"/>
  <c r="O650" i="4"/>
  <c r="N650" i="4"/>
  <c r="L650" i="4"/>
  <c r="K650" i="4"/>
  <c r="J650" i="4"/>
  <c r="I650" i="4"/>
  <c r="H650" i="4"/>
  <c r="G650" i="4"/>
  <c r="F650" i="4"/>
  <c r="E650" i="4"/>
  <c r="D650" i="4"/>
  <c r="C650" i="4"/>
  <c r="B650" i="4"/>
  <c r="A650" i="4"/>
  <c r="Q649" i="4"/>
  <c r="P649" i="4"/>
  <c r="O649" i="4"/>
  <c r="N649" i="4"/>
  <c r="L649" i="4"/>
  <c r="K649" i="4"/>
  <c r="J649" i="4"/>
  <c r="I649" i="4"/>
  <c r="H649" i="4"/>
  <c r="G649" i="4"/>
  <c r="F649" i="4"/>
  <c r="E649" i="4"/>
  <c r="D649" i="4"/>
  <c r="C649" i="4"/>
  <c r="B649" i="4"/>
  <c r="A649" i="4"/>
  <c r="Q648" i="4"/>
  <c r="P648" i="4"/>
  <c r="O648" i="4"/>
  <c r="N648" i="4"/>
  <c r="L648" i="4"/>
  <c r="K648" i="4"/>
  <c r="J648" i="4"/>
  <c r="I648" i="4"/>
  <c r="H648" i="4"/>
  <c r="G648" i="4"/>
  <c r="F648" i="4"/>
  <c r="E648" i="4"/>
  <c r="D648" i="4"/>
  <c r="C648" i="4"/>
  <c r="B648" i="4"/>
  <c r="A648" i="4"/>
  <c r="Q647" i="4"/>
  <c r="P647" i="4"/>
  <c r="O647" i="4"/>
  <c r="N647" i="4"/>
  <c r="L647" i="4"/>
  <c r="K647" i="4"/>
  <c r="J647" i="4"/>
  <c r="I647" i="4"/>
  <c r="H647" i="4"/>
  <c r="G647" i="4"/>
  <c r="F647" i="4"/>
  <c r="E647" i="4"/>
  <c r="D647" i="4"/>
  <c r="C647" i="4"/>
  <c r="B647" i="4"/>
  <c r="A647" i="4"/>
  <c r="Q646" i="4"/>
  <c r="P646" i="4"/>
  <c r="O646" i="4"/>
  <c r="N646" i="4"/>
  <c r="L646" i="4"/>
  <c r="K646" i="4"/>
  <c r="J646" i="4"/>
  <c r="I646" i="4"/>
  <c r="H646" i="4"/>
  <c r="G646" i="4"/>
  <c r="F646" i="4"/>
  <c r="E646" i="4"/>
  <c r="D646" i="4"/>
  <c r="C646" i="4"/>
  <c r="B646" i="4"/>
  <c r="A646" i="4"/>
  <c r="Q645" i="4"/>
  <c r="P645" i="4"/>
  <c r="O645" i="4"/>
  <c r="N645" i="4"/>
  <c r="L645" i="4"/>
  <c r="K645" i="4"/>
  <c r="J645" i="4"/>
  <c r="I645" i="4"/>
  <c r="H645" i="4"/>
  <c r="G645" i="4"/>
  <c r="F645" i="4"/>
  <c r="E645" i="4"/>
  <c r="D645" i="4"/>
  <c r="C645" i="4"/>
  <c r="B645" i="4"/>
  <c r="A645" i="4"/>
  <c r="Q644" i="4"/>
  <c r="P644" i="4"/>
  <c r="O644" i="4"/>
  <c r="N644" i="4"/>
  <c r="L644" i="4"/>
  <c r="K644" i="4"/>
  <c r="J644" i="4"/>
  <c r="I644" i="4"/>
  <c r="H644" i="4"/>
  <c r="G644" i="4"/>
  <c r="F644" i="4"/>
  <c r="E644" i="4"/>
  <c r="D644" i="4"/>
  <c r="C644" i="4"/>
  <c r="B644" i="4"/>
  <c r="A644" i="4"/>
  <c r="Q643" i="4"/>
  <c r="P643" i="4"/>
  <c r="O643" i="4"/>
  <c r="N643" i="4"/>
  <c r="L643" i="4"/>
  <c r="K643" i="4"/>
  <c r="J643" i="4"/>
  <c r="I643" i="4"/>
  <c r="H643" i="4"/>
  <c r="G643" i="4"/>
  <c r="F643" i="4"/>
  <c r="E643" i="4"/>
  <c r="D643" i="4"/>
  <c r="C643" i="4"/>
  <c r="B643" i="4"/>
  <c r="A643" i="4"/>
  <c r="Q642" i="4"/>
  <c r="P642" i="4"/>
  <c r="O642" i="4"/>
  <c r="N642" i="4"/>
  <c r="L642" i="4"/>
  <c r="K642" i="4"/>
  <c r="J642" i="4"/>
  <c r="I642" i="4"/>
  <c r="H642" i="4"/>
  <c r="G642" i="4"/>
  <c r="F642" i="4"/>
  <c r="E642" i="4"/>
  <c r="D642" i="4"/>
  <c r="C642" i="4"/>
  <c r="B642" i="4"/>
  <c r="A642" i="4"/>
  <c r="Q641" i="4"/>
  <c r="P641" i="4"/>
  <c r="O641" i="4"/>
  <c r="N641" i="4"/>
  <c r="L641" i="4"/>
  <c r="K641" i="4"/>
  <c r="J641" i="4"/>
  <c r="I641" i="4"/>
  <c r="H641" i="4"/>
  <c r="G641" i="4"/>
  <c r="F641" i="4"/>
  <c r="E641" i="4"/>
  <c r="D641" i="4"/>
  <c r="C641" i="4"/>
  <c r="B641" i="4"/>
  <c r="A641" i="4"/>
  <c r="Q640" i="4"/>
  <c r="P640" i="4"/>
  <c r="O640" i="4"/>
  <c r="N640" i="4"/>
  <c r="L640" i="4"/>
  <c r="K640" i="4"/>
  <c r="J640" i="4"/>
  <c r="I640" i="4"/>
  <c r="H640" i="4"/>
  <c r="G640" i="4"/>
  <c r="F640" i="4"/>
  <c r="E640" i="4"/>
  <c r="D640" i="4"/>
  <c r="C640" i="4"/>
  <c r="B640" i="4"/>
  <c r="A640" i="4"/>
  <c r="Q639" i="4"/>
  <c r="P639" i="4"/>
  <c r="O639" i="4"/>
  <c r="N639" i="4"/>
  <c r="L639" i="4"/>
  <c r="K639" i="4"/>
  <c r="J639" i="4"/>
  <c r="I639" i="4"/>
  <c r="H639" i="4"/>
  <c r="G639" i="4"/>
  <c r="F639" i="4"/>
  <c r="E639" i="4"/>
  <c r="D639" i="4"/>
  <c r="C639" i="4"/>
  <c r="B639" i="4"/>
  <c r="A639" i="4"/>
  <c r="Q638" i="4"/>
  <c r="P638" i="4"/>
  <c r="O638" i="4"/>
  <c r="N638" i="4"/>
  <c r="L638" i="4"/>
  <c r="K638" i="4"/>
  <c r="J638" i="4"/>
  <c r="I638" i="4"/>
  <c r="H638" i="4"/>
  <c r="G638" i="4"/>
  <c r="F638" i="4"/>
  <c r="E638" i="4"/>
  <c r="D638" i="4"/>
  <c r="C638" i="4"/>
  <c r="B638" i="4"/>
  <c r="A638" i="4"/>
  <c r="Q637" i="4"/>
  <c r="P637" i="4"/>
  <c r="O637" i="4"/>
  <c r="N637" i="4"/>
  <c r="L637" i="4"/>
  <c r="K637" i="4"/>
  <c r="J637" i="4"/>
  <c r="I637" i="4"/>
  <c r="H637" i="4"/>
  <c r="G637" i="4"/>
  <c r="F637" i="4"/>
  <c r="E637" i="4"/>
  <c r="D637" i="4"/>
  <c r="C637" i="4"/>
  <c r="B637" i="4"/>
  <c r="A637" i="4"/>
  <c r="Q636" i="4"/>
  <c r="P636" i="4"/>
  <c r="O636" i="4"/>
  <c r="N636" i="4"/>
  <c r="L636" i="4"/>
  <c r="K636" i="4"/>
  <c r="J636" i="4"/>
  <c r="I636" i="4"/>
  <c r="H636" i="4"/>
  <c r="G636" i="4"/>
  <c r="F636" i="4"/>
  <c r="E636" i="4"/>
  <c r="D636" i="4"/>
  <c r="C636" i="4"/>
  <c r="B636" i="4"/>
  <c r="A636" i="4"/>
  <c r="Q635" i="4"/>
  <c r="P635" i="4"/>
  <c r="O635" i="4"/>
  <c r="N635" i="4"/>
  <c r="L635" i="4"/>
  <c r="K635" i="4"/>
  <c r="J635" i="4"/>
  <c r="I635" i="4"/>
  <c r="H635" i="4"/>
  <c r="G635" i="4"/>
  <c r="F635" i="4"/>
  <c r="E635" i="4"/>
  <c r="D635" i="4"/>
  <c r="C635" i="4"/>
  <c r="B635" i="4"/>
  <c r="A635" i="4"/>
  <c r="Q634" i="4"/>
  <c r="P634" i="4"/>
  <c r="O634" i="4"/>
  <c r="N634" i="4"/>
  <c r="L634" i="4"/>
  <c r="K634" i="4"/>
  <c r="J634" i="4"/>
  <c r="I634" i="4"/>
  <c r="H634" i="4"/>
  <c r="G634" i="4"/>
  <c r="F634" i="4"/>
  <c r="E634" i="4"/>
  <c r="D634" i="4"/>
  <c r="C634" i="4"/>
  <c r="B634" i="4"/>
  <c r="A634" i="4"/>
  <c r="Q633" i="4"/>
  <c r="P633" i="4"/>
  <c r="O633" i="4"/>
  <c r="N633" i="4"/>
  <c r="L633" i="4"/>
  <c r="K633" i="4"/>
  <c r="J633" i="4"/>
  <c r="I633" i="4"/>
  <c r="H633" i="4"/>
  <c r="G633" i="4"/>
  <c r="F633" i="4"/>
  <c r="E633" i="4"/>
  <c r="D633" i="4"/>
  <c r="C633" i="4"/>
  <c r="B633" i="4"/>
  <c r="A633" i="4"/>
  <c r="Q632" i="4"/>
  <c r="P632" i="4"/>
  <c r="O632" i="4"/>
  <c r="N632" i="4"/>
  <c r="L632" i="4"/>
  <c r="K632" i="4"/>
  <c r="J632" i="4"/>
  <c r="I632" i="4"/>
  <c r="H632" i="4"/>
  <c r="G632" i="4"/>
  <c r="F632" i="4"/>
  <c r="E632" i="4"/>
  <c r="D632" i="4"/>
  <c r="C632" i="4"/>
  <c r="B632" i="4"/>
  <c r="A632" i="4"/>
  <c r="Q631" i="4"/>
  <c r="P631" i="4"/>
  <c r="O631" i="4"/>
  <c r="N631" i="4"/>
  <c r="L631" i="4"/>
  <c r="K631" i="4"/>
  <c r="J631" i="4"/>
  <c r="I631" i="4"/>
  <c r="H631" i="4"/>
  <c r="G631" i="4"/>
  <c r="F631" i="4"/>
  <c r="E631" i="4"/>
  <c r="D631" i="4"/>
  <c r="C631" i="4"/>
  <c r="B631" i="4"/>
  <c r="A631" i="4"/>
  <c r="Q630" i="4"/>
  <c r="P630" i="4"/>
  <c r="O630" i="4"/>
  <c r="N630" i="4"/>
  <c r="L630" i="4"/>
  <c r="K630" i="4"/>
  <c r="J630" i="4"/>
  <c r="I630" i="4"/>
  <c r="H630" i="4"/>
  <c r="G630" i="4"/>
  <c r="F630" i="4"/>
  <c r="E630" i="4"/>
  <c r="D630" i="4"/>
  <c r="C630" i="4"/>
  <c r="B630" i="4"/>
  <c r="A630" i="4"/>
  <c r="Q629" i="4"/>
  <c r="P629" i="4"/>
  <c r="O629" i="4"/>
  <c r="N629" i="4"/>
  <c r="L629" i="4"/>
  <c r="K629" i="4"/>
  <c r="J629" i="4"/>
  <c r="I629" i="4"/>
  <c r="H629" i="4"/>
  <c r="G629" i="4"/>
  <c r="F629" i="4"/>
  <c r="E629" i="4"/>
  <c r="D629" i="4"/>
  <c r="C629" i="4"/>
  <c r="B629" i="4"/>
  <c r="A629" i="4"/>
  <c r="Q628" i="4"/>
  <c r="P628" i="4"/>
  <c r="O628" i="4"/>
  <c r="N628" i="4"/>
  <c r="L628" i="4"/>
  <c r="K628" i="4"/>
  <c r="J628" i="4"/>
  <c r="I628" i="4"/>
  <c r="H628" i="4"/>
  <c r="G628" i="4"/>
  <c r="F628" i="4"/>
  <c r="E628" i="4"/>
  <c r="D628" i="4"/>
  <c r="C628" i="4"/>
  <c r="B628" i="4"/>
  <c r="A628" i="4"/>
  <c r="Q627" i="4"/>
  <c r="P627" i="4"/>
  <c r="O627" i="4"/>
  <c r="N627" i="4"/>
  <c r="L627" i="4"/>
  <c r="K627" i="4"/>
  <c r="J627" i="4"/>
  <c r="I627" i="4"/>
  <c r="H627" i="4"/>
  <c r="G627" i="4"/>
  <c r="F627" i="4"/>
  <c r="E627" i="4"/>
  <c r="D627" i="4"/>
  <c r="C627" i="4"/>
  <c r="B627" i="4"/>
  <c r="A627" i="4"/>
  <c r="Q626" i="4"/>
  <c r="P626" i="4"/>
  <c r="O626" i="4"/>
  <c r="N626" i="4"/>
  <c r="L626" i="4"/>
  <c r="K626" i="4"/>
  <c r="J626" i="4"/>
  <c r="I626" i="4"/>
  <c r="H626" i="4"/>
  <c r="G626" i="4"/>
  <c r="F626" i="4"/>
  <c r="E626" i="4"/>
  <c r="D626" i="4"/>
  <c r="C626" i="4"/>
  <c r="B626" i="4"/>
  <c r="A626" i="4"/>
  <c r="Q625" i="4"/>
  <c r="P625" i="4"/>
  <c r="O625" i="4"/>
  <c r="N625" i="4"/>
  <c r="L625" i="4"/>
  <c r="K625" i="4"/>
  <c r="J625" i="4"/>
  <c r="I625" i="4"/>
  <c r="H625" i="4"/>
  <c r="G625" i="4"/>
  <c r="F625" i="4"/>
  <c r="E625" i="4"/>
  <c r="D625" i="4"/>
  <c r="C625" i="4"/>
  <c r="B625" i="4"/>
  <c r="A625" i="4"/>
  <c r="Q624" i="4"/>
  <c r="P624" i="4"/>
  <c r="O624" i="4"/>
  <c r="N624" i="4"/>
  <c r="L624" i="4"/>
  <c r="K624" i="4"/>
  <c r="J624" i="4"/>
  <c r="I624" i="4"/>
  <c r="H624" i="4"/>
  <c r="G624" i="4"/>
  <c r="F624" i="4"/>
  <c r="E624" i="4"/>
  <c r="D624" i="4"/>
  <c r="C624" i="4"/>
  <c r="B624" i="4"/>
  <c r="A624" i="4"/>
  <c r="Q623" i="4"/>
  <c r="P623" i="4"/>
  <c r="O623" i="4"/>
  <c r="N623" i="4"/>
  <c r="L623" i="4"/>
  <c r="K623" i="4"/>
  <c r="J623" i="4"/>
  <c r="I623" i="4"/>
  <c r="H623" i="4"/>
  <c r="G623" i="4"/>
  <c r="F623" i="4"/>
  <c r="E623" i="4"/>
  <c r="D623" i="4"/>
  <c r="C623" i="4"/>
  <c r="B623" i="4"/>
  <c r="A623" i="4"/>
  <c r="Q622" i="4"/>
  <c r="P622" i="4"/>
  <c r="O622" i="4"/>
  <c r="N622" i="4"/>
  <c r="L622" i="4"/>
  <c r="K622" i="4"/>
  <c r="J622" i="4"/>
  <c r="I622" i="4"/>
  <c r="H622" i="4"/>
  <c r="G622" i="4"/>
  <c r="F622" i="4"/>
  <c r="E622" i="4"/>
  <c r="D622" i="4"/>
  <c r="C622" i="4"/>
  <c r="B622" i="4"/>
  <c r="A622" i="4"/>
  <c r="Q621" i="4"/>
  <c r="P621" i="4"/>
  <c r="O621" i="4"/>
  <c r="N621" i="4"/>
  <c r="L621" i="4"/>
  <c r="K621" i="4"/>
  <c r="J621" i="4"/>
  <c r="I621" i="4"/>
  <c r="H621" i="4"/>
  <c r="G621" i="4"/>
  <c r="F621" i="4"/>
  <c r="E621" i="4"/>
  <c r="D621" i="4"/>
  <c r="C621" i="4"/>
  <c r="B621" i="4"/>
  <c r="A621" i="4"/>
  <c r="Q620" i="4"/>
  <c r="P620" i="4"/>
  <c r="O620" i="4"/>
  <c r="N620" i="4"/>
  <c r="L620" i="4"/>
  <c r="K620" i="4"/>
  <c r="J620" i="4"/>
  <c r="I620" i="4"/>
  <c r="H620" i="4"/>
  <c r="G620" i="4"/>
  <c r="F620" i="4"/>
  <c r="E620" i="4"/>
  <c r="D620" i="4"/>
  <c r="C620" i="4"/>
  <c r="B620" i="4"/>
  <c r="A620" i="4"/>
  <c r="Q619" i="4"/>
  <c r="P619" i="4"/>
  <c r="O619" i="4"/>
  <c r="N619" i="4"/>
  <c r="L619" i="4"/>
  <c r="K619" i="4"/>
  <c r="J619" i="4"/>
  <c r="I619" i="4"/>
  <c r="H619" i="4"/>
  <c r="G619" i="4"/>
  <c r="F619" i="4"/>
  <c r="E619" i="4"/>
  <c r="D619" i="4"/>
  <c r="C619" i="4"/>
  <c r="B619" i="4"/>
  <c r="A619" i="4"/>
  <c r="Q618" i="4"/>
  <c r="P618" i="4"/>
  <c r="O618" i="4"/>
  <c r="N618" i="4"/>
  <c r="L618" i="4"/>
  <c r="K618" i="4"/>
  <c r="J618" i="4"/>
  <c r="I618" i="4"/>
  <c r="H618" i="4"/>
  <c r="G618" i="4"/>
  <c r="F618" i="4"/>
  <c r="E618" i="4"/>
  <c r="D618" i="4"/>
  <c r="C618" i="4"/>
  <c r="B618" i="4"/>
  <c r="A618" i="4"/>
  <c r="Q617" i="4"/>
  <c r="P617" i="4"/>
  <c r="O617" i="4"/>
  <c r="N617" i="4"/>
  <c r="L617" i="4"/>
  <c r="K617" i="4"/>
  <c r="J617" i="4"/>
  <c r="I617" i="4"/>
  <c r="H617" i="4"/>
  <c r="G617" i="4"/>
  <c r="F617" i="4"/>
  <c r="E617" i="4"/>
  <c r="D617" i="4"/>
  <c r="C617" i="4"/>
  <c r="B617" i="4"/>
  <c r="A617" i="4"/>
  <c r="Q616" i="4"/>
  <c r="P616" i="4"/>
  <c r="O616" i="4"/>
  <c r="N616" i="4"/>
  <c r="L616" i="4"/>
  <c r="K616" i="4"/>
  <c r="J616" i="4"/>
  <c r="I616" i="4"/>
  <c r="H616" i="4"/>
  <c r="G616" i="4"/>
  <c r="F616" i="4"/>
  <c r="E616" i="4"/>
  <c r="D616" i="4"/>
  <c r="C616" i="4"/>
  <c r="B616" i="4"/>
  <c r="A616" i="4"/>
  <c r="Q615" i="4"/>
  <c r="P615" i="4"/>
  <c r="O615" i="4"/>
  <c r="N615" i="4"/>
  <c r="L615" i="4"/>
  <c r="K615" i="4"/>
  <c r="J615" i="4"/>
  <c r="I615" i="4"/>
  <c r="H615" i="4"/>
  <c r="G615" i="4"/>
  <c r="F615" i="4"/>
  <c r="E615" i="4"/>
  <c r="D615" i="4"/>
  <c r="C615" i="4"/>
  <c r="B615" i="4"/>
  <c r="A615" i="4"/>
  <c r="Q614" i="4"/>
  <c r="P614" i="4"/>
  <c r="O614" i="4"/>
  <c r="N614" i="4"/>
  <c r="L614" i="4"/>
  <c r="K614" i="4"/>
  <c r="J614" i="4"/>
  <c r="I614" i="4"/>
  <c r="H614" i="4"/>
  <c r="G614" i="4"/>
  <c r="F614" i="4"/>
  <c r="E614" i="4"/>
  <c r="D614" i="4"/>
  <c r="C614" i="4"/>
  <c r="B614" i="4"/>
  <c r="A614" i="4"/>
  <c r="Q613" i="4"/>
  <c r="P613" i="4"/>
  <c r="O613" i="4"/>
  <c r="N613" i="4"/>
  <c r="L613" i="4"/>
  <c r="K613" i="4"/>
  <c r="J613" i="4"/>
  <c r="I613" i="4"/>
  <c r="H613" i="4"/>
  <c r="G613" i="4"/>
  <c r="F613" i="4"/>
  <c r="E613" i="4"/>
  <c r="D613" i="4"/>
  <c r="C613" i="4"/>
  <c r="B613" i="4"/>
  <c r="A613" i="4"/>
  <c r="Q612" i="4"/>
  <c r="P612" i="4"/>
  <c r="O612" i="4"/>
  <c r="N612" i="4"/>
  <c r="L612" i="4"/>
  <c r="K612" i="4"/>
  <c r="J612" i="4"/>
  <c r="I612" i="4"/>
  <c r="H612" i="4"/>
  <c r="G612" i="4"/>
  <c r="F612" i="4"/>
  <c r="E612" i="4"/>
  <c r="D612" i="4"/>
  <c r="C612" i="4"/>
  <c r="B612" i="4"/>
  <c r="A612" i="4"/>
  <c r="Q611" i="4"/>
  <c r="P611" i="4"/>
  <c r="O611" i="4"/>
  <c r="N611" i="4"/>
  <c r="L611" i="4"/>
  <c r="K611" i="4"/>
  <c r="J611" i="4"/>
  <c r="I611" i="4"/>
  <c r="H611" i="4"/>
  <c r="G611" i="4"/>
  <c r="F611" i="4"/>
  <c r="E611" i="4"/>
  <c r="D611" i="4"/>
  <c r="C611" i="4"/>
  <c r="B611" i="4"/>
  <c r="A611" i="4"/>
  <c r="Q610" i="4"/>
  <c r="P610" i="4"/>
  <c r="O610" i="4"/>
  <c r="N610" i="4"/>
  <c r="L610" i="4"/>
  <c r="K610" i="4"/>
  <c r="J610" i="4"/>
  <c r="I610" i="4"/>
  <c r="H610" i="4"/>
  <c r="G610" i="4"/>
  <c r="F610" i="4"/>
  <c r="E610" i="4"/>
  <c r="D610" i="4"/>
  <c r="C610" i="4"/>
  <c r="B610" i="4"/>
  <c r="A610" i="4"/>
  <c r="Q609" i="4"/>
  <c r="P609" i="4"/>
  <c r="O609" i="4"/>
  <c r="N609" i="4"/>
  <c r="L609" i="4"/>
  <c r="K609" i="4"/>
  <c r="J609" i="4"/>
  <c r="I609" i="4"/>
  <c r="H609" i="4"/>
  <c r="G609" i="4"/>
  <c r="F609" i="4"/>
  <c r="E609" i="4"/>
  <c r="D609" i="4"/>
  <c r="C609" i="4"/>
  <c r="B609" i="4"/>
  <c r="A609" i="4"/>
  <c r="Q608" i="4"/>
  <c r="P608" i="4"/>
  <c r="O608" i="4"/>
  <c r="N608" i="4"/>
  <c r="L608" i="4"/>
  <c r="K608" i="4"/>
  <c r="J608" i="4"/>
  <c r="I608" i="4"/>
  <c r="H608" i="4"/>
  <c r="G608" i="4"/>
  <c r="F608" i="4"/>
  <c r="E608" i="4"/>
  <c r="D608" i="4"/>
  <c r="C608" i="4"/>
  <c r="B608" i="4"/>
  <c r="A608" i="4"/>
  <c r="Q607" i="4"/>
  <c r="P607" i="4"/>
  <c r="O607" i="4"/>
  <c r="N607" i="4"/>
  <c r="L607" i="4"/>
  <c r="K607" i="4"/>
  <c r="J607" i="4"/>
  <c r="I607" i="4"/>
  <c r="H607" i="4"/>
  <c r="G607" i="4"/>
  <c r="F607" i="4"/>
  <c r="E607" i="4"/>
  <c r="D607" i="4"/>
  <c r="C607" i="4"/>
  <c r="B607" i="4"/>
  <c r="A607" i="4"/>
  <c r="Q606" i="4"/>
  <c r="P606" i="4"/>
  <c r="O606" i="4"/>
  <c r="N606" i="4"/>
  <c r="L606" i="4"/>
  <c r="K606" i="4"/>
  <c r="J606" i="4"/>
  <c r="I606" i="4"/>
  <c r="H606" i="4"/>
  <c r="G606" i="4"/>
  <c r="F606" i="4"/>
  <c r="E606" i="4"/>
  <c r="D606" i="4"/>
  <c r="C606" i="4"/>
  <c r="B606" i="4"/>
  <c r="A606" i="4"/>
  <c r="Q605" i="4"/>
  <c r="P605" i="4"/>
  <c r="O605" i="4"/>
  <c r="N605" i="4"/>
  <c r="L605" i="4"/>
  <c r="K605" i="4"/>
  <c r="J605" i="4"/>
  <c r="I605" i="4"/>
  <c r="H605" i="4"/>
  <c r="G605" i="4"/>
  <c r="F605" i="4"/>
  <c r="E605" i="4"/>
  <c r="D605" i="4"/>
  <c r="C605" i="4"/>
  <c r="B605" i="4"/>
  <c r="A605" i="4"/>
  <c r="Q604" i="4"/>
  <c r="P604" i="4"/>
  <c r="O604" i="4"/>
  <c r="N604" i="4"/>
  <c r="L604" i="4"/>
  <c r="K604" i="4"/>
  <c r="J604" i="4"/>
  <c r="I604" i="4"/>
  <c r="H604" i="4"/>
  <c r="G604" i="4"/>
  <c r="F604" i="4"/>
  <c r="E604" i="4"/>
  <c r="D604" i="4"/>
  <c r="C604" i="4"/>
  <c r="B604" i="4"/>
  <c r="A604" i="4"/>
  <c r="Q603" i="4"/>
  <c r="P603" i="4"/>
  <c r="O603" i="4"/>
  <c r="N603" i="4"/>
  <c r="L603" i="4"/>
  <c r="K603" i="4"/>
  <c r="J603" i="4"/>
  <c r="I603" i="4"/>
  <c r="H603" i="4"/>
  <c r="G603" i="4"/>
  <c r="F603" i="4"/>
  <c r="E603" i="4"/>
  <c r="D603" i="4"/>
  <c r="C603" i="4"/>
  <c r="B603" i="4"/>
  <c r="A603" i="4"/>
  <c r="Q602" i="4"/>
  <c r="P602" i="4"/>
  <c r="O602" i="4"/>
  <c r="N602" i="4"/>
  <c r="L602" i="4"/>
  <c r="K602" i="4"/>
  <c r="J602" i="4"/>
  <c r="I602" i="4"/>
  <c r="H602" i="4"/>
  <c r="G602" i="4"/>
  <c r="F602" i="4"/>
  <c r="E602" i="4"/>
  <c r="D602" i="4"/>
  <c r="C602" i="4"/>
  <c r="B602" i="4"/>
  <c r="A602" i="4"/>
  <c r="Q601" i="4"/>
  <c r="P601" i="4"/>
  <c r="O601" i="4"/>
  <c r="N601" i="4"/>
  <c r="L601" i="4"/>
  <c r="K601" i="4"/>
  <c r="J601" i="4"/>
  <c r="I601" i="4"/>
  <c r="H601" i="4"/>
  <c r="G601" i="4"/>
  <c r="F601" i="4"/>
  <c r="E601" i="4"/>
  <c r="D601" i="4"/>
  <c r="C601" i="4"/>
  <c r="B601" i="4"/>
  <c r="A601" i="4"/>
  <c r="Q600" i="4"/>
  <c r="P600" i="4"/>
  <c r="O600" i="4"/>
  <c r="N600" i="4"/>
  <c r="L600" i="4"/>
  <c r="K600" i="4"/>
  <c r="J600" i="4"/>
  <c r="I600" i="4"/>
  <c r="H600" i="4"/>
  <c r="G600" i="4"/>
  <c r="F600" i="4"/>
  <c r="E600" i="4"/>
  <c r="D600" i="4"/>
  <c r="C600" i="4"/>
  <c r="B600" i="4"/>
  <c r="A600" i="4"/>
  <c r="Q599" i="4"/>
  <c r="P599" i="4"/>
  <c r="O599" i="4"/>
  <c r="N599" i="4"/>
  <c r="L599" i="4"/>
  <c r="K599" i="4"/>
  <c r="J599" i="4"/>
  <c r="I599" i="4"/>
  <c r="H599" i="4"/>
  <c r="G599" i="4"/>
  <c r="F599" i="4"/>
  <c r="E599" i="4"/>
  <c r="D599" i="4"/>
  <c r="C599" i="4"/>
  <c r="B599" i="4"/>
  <c r="A599" i="4"/>
  <c r="Q598" i="4"/>
  <c r="P598" i="4"/>
  <c r="O598" i="4"/>
  <c r="N598" i="4"/>
  <c r="L598" i="4"/>
  <c r="K598" i="4"/>
  <c r="J598" i="4"/>
  <c r="I598" i="4"/>
  <c r="H598" i="4"/>
  <c r="G598" i="4"/>
  <c r="F598" i="4"/>
  <c r="E598" i="4"/>
  <c r="D598" i="4"/>
  <c r="C598" i="4"/>
  <c r="B598" i="4"/>
  <c r="A598" i="4"/>
  <c r="Q597" i="4"/>
  <c r="P597" i="4"/>
  <c r="O597" i="4"/>
  <c r="N597" i="4"/>
  <c r="L597" i="4"/>
  <c r="K597" i="4"/>
  <c r="J597" i="4"/>
  <c r="I597" i="4"/>
  <c r="H597" i="4"/>
  <c r="G597" i="4"/>
  <c r="F597" i="4"/>
  <c r="E597" i="4"/>
  <c r="D597" i="4"/>
  <c r="C597" i="4"/>
  <c r="B597" i="4"/>
  <c r="A597" i="4"/>
  <c r="Q596" i="4"/>
  <c r="P596" i="4"/>
  <c r="O596" i="4"/>
  <c r="N596" i="4"/>
  <c r="L596" i="4"/>
  <c r="K596" i="4"/>
  <c r="J596" i="4"/>
  <c r="I596" i="4"/>
  <c r="H596" i="4"/>
  <c r="G596" i="4"/>
  <c r="F596" i="4"/>
  <c r="E596" i="4"/>
  <c r="D596" i="4"/>
  <c r="C596" i="4"/>
  <c r="B596" i="4"/>
  <c r="A596" i="4"/>
  <c r="Q595" i="4"/>
  <c r="P595" i="4"/>
  <c r="O595" i="4"/>
  <c r="N595" i="4"/>
  <c r="L595" i="4"/>
  <c r="K595" i="4"/>
  <c r="J595" i="4"/>
  <c r="I595" i="4"/>
  <c r="H595" i="4"/>
  <c r="G595" i="4"/>
  <c r="F595" i="4"/>
  <c r="E595" i="4"/>
  <c r="D595" i="4"/>
  <c r="C595" i="4"/>
  <c r="B595" i="4"/>
  <c r="A595" i="4"/>
  <c r="Q594" i="4"/>
  <c r="P594" i="4"/>
  <c r="O594" i="4"/>
  <c r="N594" i="4"/>
  <c r="L594" i="4"/>
  <c r="K594" i="4"/>
  <c r="J594" i="4"/>
  <c r="I594" i="4"/>
  <c r="H594" i="4"/>
  <c r="G594" i="4"/>
  <c r="F594" i="4"/>
  <c r="E594" i="4"/>
  <c r="D594" i="4"/>
  <c r="C594" i="4"/>
  <c r="B594" i="4"/>
  <c r="A594" i="4"/>
  <c r="Q593" i="4"/>
  <c r="P593" i="4"/>
  <c r="O593" i="4"/>
  <c r="N593" i="4"/>
  <c r="L593" i="4"/>
  <c r="K593" i="4"/>
  <c r="J593" i="4"/>
  <c r="I593" i="4"/>
  <c r="H593" i="4"/>
  <c r="G593" i="4"/>
  <c r="F593" i="4"/>
  <c r="E593" i="4"/>
  <c r="D593" i="4"/>
  <c r="C593" i="4"/>
  <c r="B593" i="4"/>
  <c r="A593" i="4"/>
  <c r="Q592" i="4"/>
  <c r="P592" i="4"/>
  <c r="O592" i="4"/>
  <c r="N592" i="4"/>
  <c r="L592" i="4"/>
  <c r="K592" i="4"/>
  <c r="J592" i="4"/>
  <c r="I592" i="4"/>
  <c r="H592" i="4"/>
  <c r="G592" i="4"/>
  <c r="F592" i="4"/>
  <c r="E592" i="4"/>
  <c r="D592" i="4"/>
  <c r="C592" i="4"/>
  <c r="B592" i="4"/>
  <c r="A592" i="4"/>
  <c r="Q591" i="4"/>
  <c r="P591" i="4"/>
  <c r="O591" i="4"/>
  <c r="N591" i="4"/>
  <c r="L591" i="4"/>
  <c r="K591" i="4"/>
  <c r="J591" i="4"/>
  <c r="I591" i="4"/>
  <c r="H591" i="4"/>
  <c r="G591" i="4"/>
  <c r="F591" i="4"/>
  <c r="E591" i="4"/>
  <c r="D591" i="4"/>
  <c r="C591" i="4"/>
  <c r="B591" i="4"/>
  <c r="A591" i="4"/>
  <c r="Q590" i="4"/>
  <c r="P590" i="4"/>
  <c r="O590" i="4"/>
  <c r="N590" i="4"/>
  <c r="L590" i="4"/>
  <c r="K590" i="4"/>
  <c r="J590" i="4"/>
  <c r="I590" i="4"/>
  <c r="H590" i="4"/>
  <c r="G590" i="4"/>
  <c r="F590" i="4"/>
  <c r="E590" i="4"/>
  <c r="D590" i="4"/>
  <c r="C590" i="4"/>
  <c r="B590" i="4"/>
  <c r="A590" i="4"/>
  <c r="Q589" i="4"/>
  <c r="P589" i="4"/>
  <c r="O589" i="4"/>
  <c r="N589" i="4"/>
  <c r="L589" i="4"/>
  <c r="K589" i="4"/>
  <c r="J589" i="4"/>
  <c r="I589" i="4"/>
  <c r="H589" i="4"/>
  <c r="G589" i="4"/>
  <c r="F589" i="4"/>
  <c r="E589" i="4"/>
  <c r="D589" i="4"/>
  <c r="C589" i="4"/>
  <c r="B589" i="4"/>
  <c r="A589" i="4"/>
  <c r="Q588" i="4"/>
  <c r="P588" i="4"/>
  <c r="O588" i="4"/>
  <c r="N588" i="4"/>
  <c r="L588" i="4"/>
  <c r="K588" i="4"/>
  <c r="J588" i="4"/>
  <c r="I588" i="4"/>
  <c r="H588" i="4"/>
  <c r="G588" i="4"/>
  <c r="F588" i="4"/>
  <c r="E588" i="4"/>
  <c r="D588" i="4"/>
  <c r="C588" i="4"/>
  <c r="B588" i="4"/>
  <c r="A588" i="4"/>
  <c r="Q587" i="4"/>
  <c r="P587" i="4"/>
  <c r="O587" i="4"/>
  <c r="N587" i="4"/>
  <c r="L587" i="4"/>
  <c r="K587" i="4"/>
  <c r="J587" i="4"/>
  <c r="I587" i="4"/>
  <c r="H587" i="4"/>
  <c r="G587" i="4"/>
  <c r="F587" i="4"/>
  <c r="E587" i="4"/>
  <c r="D587" i="4"/>
  <c r="C587" i="4"/>
  <c r="B587" i="4"/>
  <c r="A587" i="4"/>
  <c r="Q586" i="4"/>
  <c r="P586" i="4"/>
  <c r="O586" i="4"/>
  <c r="N586" i="4"/>
  <c r="L586" i="4"/>
  <c r="K586" i="4"/>
  <c r="J586" i="4"/>
  <c r="I586" i="4"/>
  <c r="H586" i="4"/>
  <c r="G586" i="4"/>
  <c r="F586" i="4"/>
  <c r="E586" i="4"/>
  <c r="D586" i="4"/>
  <c r="C586" i="4"/>
  <c r="B586" i="4"/>
  <c r="A586" i="4"/>
  <c r="Q585" i="4"/>
  <c r="P585" i="4"/>
  <c r="O585" i="4"/>
  <c r="N585" i="4"/>
  <c r="L585" i="4"/>
  <c r="K585" i="4"/>
  <c r="J585" i="4"/>
  <c r="I585" i="4"/>
  <c r="H585" i="4"/>
  <c r="G585" i="4"/>
  <c r="F585" i="4"/>
  <c r="E585" i="4"/>
  <c r="D585" i="4"/>
  <c r="C585" i="4"/>
  <c r="B585" i="4"/>
  <c r="A585" i="4"/>
  <c r="Q584" i="4"/>
  <c r="P584" i="4"/>
  <c r="O584" i="4"/>
  <c r="N584" i="4"/>
  <c r="L584" i="4"/>
  <c r="K584" i="4"/>
  <c r="J584" i="4"/>
  <c r="I584" i="4"/>
  <c r="H584" i="4"/>
  <c r="G584" i="4"/>
  <c r="F584" i="4"/>
  <c r="E584" i="4"/>
  <c r="D584" i="4"/>
  <c r="C584" i="4"/>
  <c r="B584" i="4"/>
  <c r="A584" i="4"/>
  <c r="Q583" i="4"/>
  <c r="P583" i="4"/>
  <c r="O583" i="4"/>
  <c r="N583" i="4"/>
  <c r="L583" i="4"/>
  <c r="K583" i="4"/>
  <c r="J583" i="4"/>
  <c r="I583" i="4"/>
  <c r="H583" i="4"/>
  <c r="G583" i="4"/>
  <c r="F583" i="4"/>
  <c r="E583" i="4"/>
  <c r="D583" i="4"/>
  <c r="C583" i="4"/>
  <c r="B583" i="4"/>
  <c r="A583" i="4"/>
  <c r="Q582" i="4"/>
  <c r="P582" i="4"/>
  <c r="O582" i="4"/>
  <c r="N582" i="4"/>
  <c r="L582" i="4"/>
  <c r="K582" i="4"/>
  <c r="J582" i="4"/>
  <c r="I582" i="4"/>
  <c r="H582" i="4"/>
  <c r="G582" i="4"/>
  <c r="F582" i="4"/>
  <c r="E582" i="4"/>
  <c r="D582" i="4"/>
  <c r="C582" i="4"/>
  <c r="B582" i="4"/>
  <c r="A582" i="4"/>
  <c r="Q581" i="4"/>
  <c r="P581" i="4"/>
  <c r="O581" i="4"/>
  <c r="N581" i="4"/>
  <c r="L581" i="4"/>
  <c r="K581" i="4"/>
  <c r="J581" i="4"/>
  <c r="I581" i="4"/>
  <c r="H581" i="4"/>
  <c r="G581" i="4"/>
  <c r="F581" i="4"/>
  <c r="E581" i="4"/>
  <c r="D581" i="4"/>
  <c r="C581" i="4"/>
  <c r="B581" i="4"/>
  <c r="A581" i="4"/>
  <c r="Q580" i="4"/>
  <c r="P580" i="4"/>
  <c r="O580" i="4"/>
  <c r="N580" i="4"/>
  <c r="L580" i="4"/>
  <c r="K580" i="4"/>
  <c r="J580" i="4"/>
  <c r="I580" i="4"/>
  <c r="H580" i="4"/>
  <c r="G580" i="4"/>
  <c r="F580" i="4"/>
  <c r="E580" i="4"/>
  <c r="D580" i="4"/>
  <c r="C580" i="4"/>
  <c r="B580" i="4"/>
  <c r="A580" i="4"/>
  <c r="Q579" i="4"/>
  <c r="P579" i="4"/>
  <c r="O579" i="4"/>
  <c r="N579" i="4"/>
  <c r="L579" i="4"/>
  <c r="K579" i="4"/>
  <c r="J579" i="4"/>
  <c r="I579" i="4"/>
  <c r="H579" i="4"/>
  <c r="G579" i="4"/>
  <c r="F579" i="4"/>
  <c r="E579" i="4"/>
  <c r="D579" i="4"/>
  <c r="C579" i="4"/>
  <c r="B579" i="4"/>
  <c r="A579" i="4"/>
  <c r="Q578" i="4"/>
  <c r="P578" i="4"/>
  <c r="O578" i="4"/>
  <c r="N578" i="4"/>
  <c r="L578" i="4"/>
  <c r="K578" i="4"/>
  <c r="J578" i="4"/>
  <c r="I578" i="4"/>
  <c r="H578" i="4"/>
  <c r="G578" i="4"/>
  <c r="F578" i="4"/>
  <c r="E578" i="4"/>
  <c r="D578" i="4"/>
  <c r="C578" i="4"/>
  <c r="B578" i="4"/>
  <c r="A578" i="4"/>
  <c r="Q577" i="4"/>
  <c r="P577" i="4"/>
  <c r="O577" i="4"/>
  <c r="N577" i="4"/>
  <c r="L577" i="4"/>
  <c r="K577" i="4"/>
  <c r="J577" i="4"/>
  <c r="I577" i="4"/>
  <c r="H577" i="4"/>
  <c r="G577" i="4"/>
  <c r="F577" i="4"/>
  <c r="E577" i="4"/>
  <c r="D577" i="4"/>
  <c r="C577" i="4"/>
  <c r="B577" i="4"/>
  <c r="A577" i="4"/>
  <c r="Q576" i="4"/>
  <c r="P576" i="4"/>
  <c r="O576" i="4"/>
  <c r="N576" i="4"/>
  <c r="L576" i="4"/>
  <c r="K576" i="4"/>
  <c r="J576" i="4"/>
  <c r="I576" i="4"/>
  <c r="H576" i="4"/>
  <c r="G576" i="4"/>
  <c r="F576" i="4"/>
  <c r="E576" i="4"/>
  <c r="D576" i="4"/>
  <c r="C576" i="4"/>
  <c r="B576" i="4"/>
  <c r="A576" i="4"/>
  <c r="Q575" i="4"/>
  <c r="P575" i="4"/>
  <c r="O575" i="4"/>
  <c r="N575" i="4"/>
  <c r="L575" i="4"/>
  <c r="K575" i="4"/>
  <c r="J575" i="4"/>
  <c r="I575" i="4"/>
  <c r="H575" i="4"/>
  <c r="G575" i="4"/>
  <c r="F575" i="4"/>
  <c r="E575" i="4"/>
  <c r="D575" i="4"/>
  <c r="C575" i="4"/>
  <c r="B575" i="4"/>
  <c r="A575" i="4"/>
  <c r="Q574" i="4"/>
  <c r="P574" i="4"/>
  <c r="O574" i="4"/>
  <c r="N574" i="4"/>
  <c r="L574" i="4"/>
  <c r="K574" i="4"/>
  <c r="J574" i="4"/>
  <c r="I574" i="4"/>
  <c r="H574" i="4"/>
  <c r="G574" i="4"/>
  <c r="F574" i="4"/>
  <c r="E574" i="4"/>
  <c r="D574" i="4"/>
  <c r="C574" i="4"/>
  <c r="B574" i="4"/>
  <c r="A574" i="4"/>
  <c r="Q573" i="4"/>
  <c r="P573" i="4"/>
  <c r="O573" i="4"/>
  <c r="N573" i="4"/>
  <c r="L573" i="4"/>
  <c r="K573" i="4"/>
  <c r="J573" i="4"/>
  <c r="I573" i="4"/>
  <c r="H573" i="4"/>
  <c r="G573" i="4"/>
  <c r="F573" i="4"/>
  <c r="E573" i="4"/>
  <c r="D573" i="4"/>
  <c r="C573" i="4"/>
  <c r="B573" i="4"/>
  <c r="A573" i="4"/>
  <c r="Q572" i="4"/>
  <c r="P572" i="4"/>
  <c r="O572" i="4"/>
  <c r="N572" i="4"/>
  <c r="L572" i="4"/>
  <c r="K572" i="4"/>
  <c r="J572" i="4"/>
  <c r="I572" i="4"/>
  <c r="H572" i="4"/>
  <c r="G572" i="4"/>
  <c r="F572" i="4"/>
  <c r="E572" i="4"/>
  <c r="D572" i="4"/>
  <c r="C572" i="4"/>
  <c r="B572" i="4"/>
  <c r="A572" i="4"/>
  <c r="Q571" i="4"/>
  <c r="P571" i="4"/>
  <c r="O571" i="4"/>
  <c r="N571" i="4"/>
  <c r="L571" i="4"/>
  <c r="K571" i="4"/>
  <c r="J571" i="4"/>
  <c r="I571" i="4"/>
  <c r="H571" i="4"/>
  <c r="G571" i="4"/>
  <c r="F571" i="4"/>
  <c r="E571" i="4"/>
  <c r="D571" i="4"/>
  <c r="C571" i="4"/>
  <c r="B571" i="4"/>
  <c r="A571" i="4"/>
  <c r="Q570" i="4"/>
  <c r="P570" i="4"/>
  <c r="O570" i="4"/>
  <c r="N570" i="4"/>
  <c r="L570" i="4"/>
  <c r="K570" i="4"/>
  <c r="J570" i="4"/>
  <c r="I570" i="4"/>
  <c r="H570" i="4"/>
  <c r="G570" i="4"/>
  <c r="F570" i="4"/>
  <c r="E570" i="4"/>
  <c r="D570" i="4"/>
  <c r="C570" i="4"/>
  <c r="B570" i="4"/>
  <c r="A570" i="4"/>
  <c r="Q569" i="4"/>
  <c r="P569" i="4"/>
  <c r="O569" i="4"/>
  <c r="N569" i="4"/>
  <c r="L569" i="4"/>
  <c r="K569" i="4"/>
  <c r="J569" i="4"/>
  <c r="I569" i="4"/>
  <c r="H569" i="4"/>
  <c r="G569" i="4"/>
  <c r="F569" i="4"/>
  <c r="E569" i="4"/>
  <c r="D569" i="4"/>
  <c r="C569" i="4"/>
  <c r="B569" i="4"/>
  <c r="A569" i="4"/>
  <c r="Q568" i="4"/>
  <c r="P568" i="4"/>
  <c r="O568" i="4"/>
  <c r="N568" i="4"/>
  <c r="L568" i="4"/>
  <c r="K568" i="4"/>
  <c r="J568" i="4"/>
  <c r="I568" i="4"/>
  <c r="H568" i="4"/>
  <c r="G568" i="4"/>
  <c r="F568" i="4"/>
  <c r="E568" i="4"/>
  <c r="D568" i="4"/>
  <c r="C568" i="4"/>
  <c r="B568" i="4"/>
  <c r="A568" i="4"/>
  <c r="Q567" i="4"/>
  <c r="P567" i="4"/>
  <c r="O567" i="4"/>
  <c r="N567" i="4"/>
  <c r="L567" i="4"/>
  <c r="K567" i="4"/>
  <c r="J567" i="4"/>
  <c r="I567" i="4"/>
  <c r="H567" i="4"/>
  <c r="G567" i="4"/>
  <c r="F567" i="4"/>
  <c r="E567" i="4"/>
  <c r="D567" i="4"/>
  <c r="C567" i="4"/>
  <c r="B567" i="4"/>
  <c r="A567" i="4"/>
  <c r="Q566" i="4"/>
  <c r="P566" i="4"/>
  <c r="O566" i="4"/>
  <c r="N566" i="4"/>
  <c r="L566" i="4"/>
  <c r="K566" i="4"/>
  <c r="J566" i="4"/>
  <c r="I566" i="4"/>
  <c r="H566" i="4"/>
  <c r="G566" i="4"/>
  <c r="F566" i="4"/>
  <c r="E566" i="4"/>
  <c r="D566" i="4"/>
  <c r="C566" i="4"/>
  <c r="B566" i="4"/>
  <c r="A566" i="4"/>
  <c r="Q565" i="4"/>
  <c r="P565" i="4"/>
  <c r="O565" i="4"/>
  <c r="N565" i="4"/>
  <c r="L565" i="4"/>
  <c r="K565" i="4"/>
  <c r="J565" i="4"/>
  <c r="I565" i="4"/>
  <c r="H565" i="4"/>
  <c r="G565" i="4"/>
  <c r="F565" i="4"/>
  <c r="E565" i="4"/>
  <c r="D565" i="4"/>
  <c r="C565" i="4"/>
  <c r="B565" i="4"/>
  <c r="A565" i="4"/>
  <c r="Q564" i="4"/>
  <c r="P564" i="4"/>
  <c r="O564" i="4"/>
  <c r="N564" i="4"/>
  <c r="L564" i="4"/>
  <c r="K564" i="4"/>
  <c r="J564" i="4"/>
  <c r="I564" i="4"/>
  <c r="H564" i="4"/>
  <c r="G564" i="4"/>
  <c r="F564" i="4"/>
  <c r="E564" i="4"/>
  <c r="D564" i="4"/>
  <c r="C564" i="4"/>
  <c r="B564" i="4"/>
  <c r="A564" i="4"/>
  <c r="Q563" i="4"/>
  <c r="P563" i="4"/>
  <c r="O563" i="4"/>
  <c r="N563" i="4"/>
  <c r="L563" i="4"/>
  <c r="K563" i="4"/>
  <c r="J563" i="4"/>
  <c r="I563" i="4"/>
  <c r="H563" i="4"/>
  <c r="G563" i="4"/>
  <c r="F563" i="4"/>
  <c r="E563" i="4"/>
  <c r="D563" i="4"/>
  <c r="C563" i="4"/>
  <c r="B563" i="4"/>
  <c r="A563" i="4"/>
  <c r="Q562" i="4"/>
  <c r="P562" i="4"/>
  <c r="O562" i="4"/>
  <c r="N562" i="4"/>
  <c r="L562" i="4"/>
  <c r="K562" i="4"/>
  <c r="J562" i="4"/>
  <c r="I562" i="4"/>
  <c r="H562" i="4"/>
  <c r="G562" i="4"/>
  <c r="F562" i="4"/>
  <c r="E562" i="4"/>
  <c r="D562" i="4"/>
  <c r="C562" i="4"/>
  <c r="B562" i="4"/>
  <c r="A562" i="4"/>
  <c r="Q561" i="4"/>
  <c r="P561" i="4"/>
  <c r="O561" i="4"/>
  <c r="N561" i="4"/>
  <c r="L561" i="4"/>
  <c r="K561" i="4"/>
  <c r="J561" i="4"/>
  <c r="I561" i="4"/>
  <c r="H561" i="4"/>
  <c r="G561" i="4"/>
  <c r="F561" i="4"/>
  <c r="E561" i="4"/>
  <c r="D561" i="4"/>
  <c r="C561" i="4"/>
  <c r="B561" i="4"/>
  <c r="A561" i="4"/>
  <c r="Q560" i="4"/>
  <c r="P560" i="4"/>
  <c r="O560" i="4"/>
  <c r="N560" i="4"/>
  <c r="L560" i="4"/>
  <c r="K560" i="4"/>
  <c r="J560" i="4"/>
  <c r="I560" i="4"/>
  <c r="H560" i="4"/>
  <c r="G560" i="4"/>
  <c r="F560" i="4"/>
  <c r="E560" i="4"/>
  <c r="D560" i="4"/>
  <c r="C560" i="4"/>
  <c r="B560" i="4"/>
  <c r="A560" i="4"/>
  <c r="Q559" i="4"/>
  <c r="P559" i="4"/>
  <c r="O559" i="4"/>
  <c r="N559" i="4"/>
  <c r="L559" i="4"/>
  <c r="K559" i="4"/>
  <c r="J559" i="4"/>
  <c r="I559" i="4"/>
  <c r="H559" i="4"/>
  <c r="G559" i="4"/>
  <c r="F559" i="4"/>
  <c r="E559" i="4"/>
  <c r="D559" i="4"/>
  <c r="C559" i="4"/>
  <c r="B559" i="4"/>
  <c r="A559" i="4"/>
  <c r="Q558" i="4"/>
  <c r="P558" i="4"/>
  <c r="O558" i="4"/>
  <c r="N558" i="4"/>
  <c r="L558" i="4"/>
  <c r="K558" i="4"/>
  <c r="J558" i="4"/>
  <c r="I558" i="4"/>
  <c r="H558" i="4"/>
  <c r="G558" i="4"/>
  <c r="F558" i="4"/>
  <c r="E558" i="4"/>
  <c r="D558" i="4"/>
  <c r="C558" i="4"/>
  <c r="B558" i="4"/>
  <c r="A558" i="4"/>
  <c r="Q557" i="4"/>
  <c r="P557" i="4"/>
  <c r="O557" i="4"/>
  <c r="N557" i="4"/>
  <c r="L557" i="4"/>
  <c r="K557" i="4"/>
  <c r="J557" i="4"/>
  <c r="I557" i="4"/>
  <c r="H557" i="4"/>
  <c r="G557" i="4"/>
  <c r="F557" i="4"/>
  <c r="E557" i="4"/>
  <c r="D557" i="4"/>
  <c r="C557" i="4"/>
  <c r="B557" i="4"/>
  <c r="A557" i="4"/>
  <c r="Q556" i="4"/>
  <c r="P556" i="4"/>
  <c r="O556" i="4"/>
  <c r="N556" i="4"/>
  <c r="L556" i="4"/>
  <c r="K556" i="4"/>
  <c r="J556" i="4"/>
  <c r="I556" i="4"/>
  <c r="H556" i="4"/>
  <c r="G556" i="4"/>
  <c r="F556" i="4"/>
  <c r="E556" i="4"/>
  <c r="D556" i="4"/>
  <c r="C556" i="4"/>
  <c r="B556" i="4"/>
  <c r="A556" i="4"/>
  <c r="Q555" i="4"/>
  <c r="P555" i="4"/>
  <c r="O555" i="4"/>
  <c r="N555" i="4"/>
  <c r="L555" i="4"/>
  <c r="K555" i="4"/>
  <c r="J555" i="4"/>
  <c r="I555" i="4"/>
  <c r="H555" i="4"/>
  <c r="G555" i="4"/>
  <c r="F555" i="4"/>
  <c r="E555" i="4"/>
  <c r="D555" i="4"/>
  <c r="C555" i="4"/>
  <c r="B555" i="4"/>
  <c r="A555" i="4"/>
  <c r="Q554" i="4"/>
  <c r="P554" i="4"/>
  <c r="O554" i="4"/>
  <c r="N554" i="4"/>
  <c r="L554" i="4"/>
  <c r="K554" i="4"/>
  <c r="J554" i="4"/>
  <c r="I554" i="4"/>
  <c r="H554" i="4"/>
  <c r="G554" i="4"/>
  <c r="F554" i="4"/>
  <c r="E554" i="4"/>
  <c r="D554" i="4"/>
  <c r="C554" i="4"/>
  <c r="B554" i="4"/>
  <c r="A554" i="4"/>
  <c r="Q553" i="4"/>
  <c r="P553" i="4"/>
  <c r="O553" i="4"/>
  <c r="N553" i="4"/>
  <c r="L553" i="4"/>
  <c r="K553" i="4"/>
  <c r="J553" i="4"/>
  <c r="I553" i="4"/>
  <c r="H553" i="4"/>
  <c r="G553" i="4"/>
  <c r="F553" i="4"/>
  <c r="E553" i="4"/>
  <c r="D553" i="4"/>
  <c r="C553" i="4"/>
  <c r="B553" i="4"/>
  <c r="A553" i="4"/>
  <c r="Q552" i="4"/>
  <c r="P552" i="4"/>
  <c r="O552" i="4"/>
  <c r="N552" i="4"/>
  <c r="L552" i="4"/>
  <c r="K552" i="4"/>
  <c r="J552" i="4"/>
  <c r="I552" i="4"/>
  <c r="H552" i="4"/>
  <c r="G552" i="4"/>
  <c r="F552" i="4"/>
  <c r="E552" i="4"/>
  <c r="D552" i="4"/>
  <c r="C552" i="4"/>
  <c r="B552" i="4"/>
  <c r="A552" i="4"/>
  <c r="Q551" i="4"/>
  <c r="P551" i="4"/>
  <c r="O551" i="4"/>
  <c r="N551" i="4"/>
  <c r="L551" i="4"/>
  <c r="K551" i="4"/>
  <c r="J551" i="4"/>
  <c r="I551" i="4"/>
  <c r="H551" i="4"/>
  <c r="G551" i="4"/>
  <c r="F551" i="4"/>
  <c r="E551" i="4"/>
  <c r="D551" i="4"/>
  <c r="C551" i="4"/>
  <c r="B551" i="4"/>
  <c r="A551" i="4"/>
  <c r="Q550" i="4"/>
  <c r="P550" i="4"/>
  <c r="O550" i="4"/>
  <c r="N550" i="4"/>
  <c r="L550" i="4"/>
  <c r="K550" i="4"/>
  <c r="J550" i="4"/>
  <c r="I550" i="4"/>
  <c r="H550" i="4"/>
  <c r="G550" i="4"/>
  <c r="F550" i="4"/>
  <c r="E550" i="4"/>
  <c r="D550" i="4"/>
  <c r="C550" i="4"/>
  <c r="B550" i="4"/>
  <c r="A550" i="4"/>
  <c r="Q549" i="4"/>
  <c r="P549" i="4"/>
  <c r="O549" i="4"/>
  <c r="N549" i="4"/>
  <c r="L549" i="4"/>
  <c r="K549" i="4"/>
  <c r="J549" i="4"/>
  <c r="I549" i="4"/>
  <c r="H549" i="4"/>
  <c r="G549" i="4"/>
  <c r="F549" i="4"/>
  <c r="E549" i="4"/>
  <c r="D549" i="4"/>
  <c r="C549" i="4"/>
  <c r="B549" i="4"/>
  <c r="A549" i="4"/>
  <c r="Q548" i="4"/>
  <c r="P548" i="4"/>
  <c r="O548" i="4"/>
  <c r="N548" i="4"/>
  <c r="L548" i="4"/>
  <c r="K548" i="4"/>
  <c r="J548" i="4"/>
  <c r="I548" i="4"/>
  <c r="H548" i="4"/>
  <c r="G548" i="4"/>
  <c r="F548" i="4"/>
  <c r="E548" i="4"/>
  <c r="D548" i="4"/>
  <c r="C548" i="4"/>
  <c r="B548" i="4"/>
  <c r="A548" i="4"/>
  <c r="Q547" i="4"/>
  <c r="P547" i="4"/>
  <c r="O547" i="4"/>
  <c r="N547" i="4"/>
  <c r="L547" i="4"/>
  <c r="K547" i="4"/>
  <c r="J547" i="4"/>
  <c r="I547" i="4"/>
  <c r="H547" i="4"/>
  <c r="G547" i="4"/>
  <c r="F547" i="4"/>
  <c r="E547" i="4"/>
  <c r="D547" i="4"/>
  <c r="C547" i="4"/>
  <c r="B547" i="4"/>
  <c r="A547" i="4"/>
  <c r="Q546" i="4"/>
  <c r="P546" i="4"/>
  <c r="O546" i="4"/>
  <c r="N546" i="4"/>
  <c r="L546" i="4"/>
  <c r="K546" i="4"/>
  <c r="J546" i="4"/>
  <c r="I546" i="4"/>
  <c r="H546" i="4"/>
  <c r="G546" i="4"/>
  <c r="F546" i="4"/>
  <c r="E546" i="4"/>
  <c r="D546" i="4"/>
  <c r="C546" i="4"/>
  <c r="B546" i="4"/>
  <c r="A546" i="4"/>
  <c r="Q545" i="4"/>
  <c r="P545" i="4"/>
  <c r="O545" i="4"/>
  <c r="N545" i="4"/>
  <c r="L545" i="4"/>
  <c r="K545" i="4"/>
  <c r="J545" i="4"/>
  <c r="I545" i="4"/>
  <c r="H545" i="4"/>
  <c r="G545" i="4"/>
  <c r="F545" i="4"/>
  <c r="E545" i="4"/>
  <c r="D545" i="4"/>
  <c r="C545" i="4"/>
  <c r="B545" i="4"/>
  <c r="A545" i="4"/>
  <c r="Q544" i="4"/>
  <c r="P544" i="4"/>
  <c r="O544" i="4"/>
  <c r="N544" i="4"/>
  <c r="L544" i="4"/>
  <c r="K544" i="4"/>
  <c r="J544" i="4"/>
  <c r="I544" i="4"/>
  <c r="H544" i="4"/>
  <c r="G544" i="4"/>
  <c r="F544" i="4"/>
  <c r="E544" i="4"/>
  <c r="D544" i="4"/>
  <c r="C544" i="4"/>
  <c r="B544" i="4"/>
  <c r="A544" i="4"/>
  <c r="Q543" i="4"/>
  <c r="P543" i="4"/>
  <c r="O543" i="4"/>
  <c r="N543" i="4"/>
  <c r="L543" i="4"/>
  <c r="K543" i="4"/>
  <c r="J543" i="4"/>
  <c r="I543" i="4"/>
  <c r="H543" i="4"/>
  <c r="G543" i="4"/>
  <c r="F543" i="4"/>
  <c r="E543" i="4"/>
  <c r="D543" i="4"/>
  <c r="C543" i="4"/>
  <c r="B543" i="4"/>
  <c r="A543" i="4"/>
  <c r="Q542" i="4"/>
  <c r="P542" i="4"/>
  <c r="O542" i="4"/>
  <c r="N542" i="4"/>
  <c r="L542" i="4"/>
  <c r="K542" i="4"/>
  <c r="J542" i="4"/>
  <c r="I542" i="4"/>
  <c r="H542" i="4"/>
  <c r="G542" i="4"/>
  <c r="F542" i="4"/>
  <c r="E542" i="4"/>
  <c r="D542" i="4"/>
  <c r="C542" i="4"/>
  <c r="B542" i="4"/>
  <c r="A542" i="4"/>
  <c r="Q541" i="4"/>
  <c r="P541" i="4"/>
  <c r="O541" i="4"/>
  <c r="N541" i="4"/>
  <c r="L541" i="4"/>
  <c r="K541" i="4"/>
  <c r="J541" i="4"/>
  <c r="I541" i="4"/>
  <c r="H541" i="4"/>
  <c r="G541" i="4"/>
  <c r="F541" i="4"/>
  <c r="E541" i="4"/>
  <c r="D541" i="4"/>
  <c r="C541" i="4"/>
  <c r="B541" i="4"/>
  <c r="A541" i="4"/>
  <c r="Q540" i="4"/>
  <c r="P540" i="4"/>
  <c r="O540" i="4"/>
  <c r="N540" i="4"/>
  <c r="L540" i="4"/>
  <c r="K540" i="4"/>
  <c r="J540" i="4"/>
  <c r="I540" i="4"/>
  <c r="H540" i="4"/>
  <c r="G540" i="4"/>
  <c r="F540" i="4"/>
  <c r="E540" i="4"/>
  <c r="D540" i="4"/>
  <c r="C540" i="4"/>
  <c r="B540" i="4"/>
  <c r="A540" i="4"/>
  <c r="Q539" i="4"/>
  <c r="P539" i="4"/>
  <c r="O539" i="4"/>
  <c r="N539" i="4"/>
  <c r="L539" i="4"/>
  <c r="K539" i="4"/>
  <c r="J539" i="4"/>
  <c r="I539" i="4"/>
  <c r="H539" i="4"/>
  <c r="G539" i="4"/>
  <c r="F539" i="4"/>
  <c r="E539" i="4"/>
  <c r="D539" i="4"/>
  <c r="C539" i="4"/>
  <c r="B539" i="4"/>
  <c r="A539" i="4"/>
  <c r="Q538" i="4"/>
  <c r="P538" i="4"/>
  <c r="O538" i="4"/>
  <c r="N538" i="4"/>
  <c r="L538" i="4"/>
  <c r="K538" i="4"/>
  <c r="J538" i="4"/>
  <c r="I538" i="4"/>
  <c r="H538" i="4"/>
  <c r="G538" i="4"/>
  <c r="F538" i="4"/>
  <c r="E538" i="4"/>
  <c r="D538" i="4"/>
  <c r="C538" i="4"/>
  <c r="B538" i="4"/>
  <c r="A538" i="4"/>
  <c r="Q537" i="4"/>
  <c r="P537" i="4"/>
  <c r="O537" i="4"/>
  <c r="N537" i="4"/>
  <c r="L537" i="4"/>
  <c r="K537" i="4"/>
  <c r="J537" i="4"/>
  <c r="I537" i="4"/>
  <c r="H537" i="4"/>
  <c r="G537" i="4"/>
  <c r="F537" i="4"/>
  <c r="E537" i="4"/>
  <c r="D537" i="4"/>
  <c r="C537" i="4"/>
  <c r="B537" i="4"/>
  <c r="A537" i="4"/>
  <c r="Q536" i="4"/>
  <c r="P536" i="4"/>
  <c r="O536" i="4"/>
  <c r="N536" i="4"/>
  <c r="L536" i="4"/>
  <c r="K536" i="4"/>
  <c r="J536" i="4"/>
  <c r="I536" i="4"/>
  <c r="H536" i="4"/>
  <c r="G536" i="4"/>
  <c r="F536" i="4"/>
  <c r="E536" i="4"/>
  <c r="D536" i="4"/>
  <c r="C536" i="4"/>
  <c r="B536" i="4"/>
  <c r="A536" i="4"/>
  <c r="Q535" i="4"/>
  <c r="P535" i="4"/>
  <c r="O535" i="4"/>
  <c r="N535" i="4"/>
  <c r="L535" i="4"/>
  <c r="K535" i="4"/>
  <c r="J535" i="4"/>
  <c r="I535" i="4"/>
  <c r="H535" i="4"/>
  <c r="G535" i="4"/>
  <c r="F535" i="4"/>
  <c r="E535" i="4"/>
  <c r="D535" i="4"/>
  <c r="C535" i="4"/>
  <c r="B535" i="4"/>
  <c r="A535" i="4"/>
  <c r="Q534" i="4"/>
  <c r="P534" i="4"/>
  <c r="O534" i="4"/>
  <c r="N534" i="4"/>
  <c r="L534" i="4"/>
  <c r="K534" i="4"/>
  <c r="J534" i="4"/>
  <c r="I534" i="4"/>
  <c r="H534" i="4"/>
  <c r="G534" i="4"/>
  <c r="F534" i="4"/>
  <c r="E534" i="4"/>
  <c r="D534" i="4"/>
  <c r="C534" i="4"/>
  <c r="B534" i="4"/>
  <c r="A534" i="4"/>
  <c r="Q533" i="4"/>
  <c r="P533" i="4"/>
  <c r="O533" i="4"/>
  <c r="N533" i="4"/>
  <c r="L533" i="4"/>
  <c r="K533" i="4"/>
  <c r="J533" i="4"/>
  <c r="I533" i="4"/>
  <c r="H533" i="4"/>
  <c r="G533" i="4"/>
  <c r="F533" i="4"/>
  <c r="E533" i="4"/>
  <c r="D533" i="4"/>
  <c r="C533" i="4"/>
  <c r="B533" i="4"/>
  <c r="A533" i="4"/>
  <c r="Q532" i="4"/>
  <c r="P532" i="4"/>
  <c r="O532" i="4"/>
  <c r="N532" i="4"/>
  <c r="L532" i="4"/>
  <c r="K532" i="4"/>
  <c r="J532" i="4"/>
  <c r="I532" i="4"/>
  <c r="H532" i="4"/>
  <c r="G532" i="4"/>
  <c r="F532" i="4"/>
  <c r="E532" i="4"/>
  <c r="D532" i="4"/>
  <c r="C532" i="4"/>
  <c r="B532" i="4"/>
  <c r="A532" i="4"/>
  <c r="Q531" i="4"/>
  <c r="P531" i="4"/>
  <c r="O531" i="4"/>
  <c r="N531" i="4"/>
  <c r="L531" i="4"/>
  <c r="K531" i="4"/>
  <c r="J531" i="4"/>
  <c r="I531" i="4"/>
  <c r="H531" i="4"/>
  <c r="G531" i="4"/>
  <c r="F531" i="4"/>
  <c r="E531" i="4"/>
  <c r="D531" i="4"/>
  <c r="C531" i="4"/>
  <c r="B531" i="4"/>
  <c r="A531" i="4"/>
  <c r="Q530" i="4"/>
  <c r="P530" i="4"/>
  <c r="O530" i="4"/>
  <c r="N530" i="4"/>
  <c r="L530" i="4"/>
  <c r="K530" i="4"/>
  <c r="J530" i="4"/>
  <c r="I530" i="4"/>
  <c r="H530" i="4"/>
  <c r="G530" i="4"/>
  <c r="F530" i="4"/>
  <c r="E530" i="4"/>
  <c r="D530" i="4"/>
  <c r="C530" i="4"/>
  <c r="B530" i="4"/>
  <c r="A530" i="4"/>
  <c r="Q529" i="4"/>
  <c r="P529" i="4"/>
  <c r="O529" i="4"/>
  <c r="N529" i="4"/>
  <c r="L529" i="4"/>
  <c r="K529" i="4"/>
  <c r="J529" i="4"/>
  <c r="I529" i="4"/>
  <c r="H529" i="4"/>
  <c r="G529" i="4"/>
  <c r="F529" i="4"/>
  <c r="E529" i="4"/>
  <c r="D529" i="4"/>
  <c r="C529" i="4"/>
  <c r="B529" i="4"/>
  <c r="A529" i="4"/>
  <c r="Q528" i="4"/>
  <c r="P528" i="4"/>
  <c r="O528" i="4"/>
  <c r="N528" i="4"/>
  <c r="L528" i="4"/>
  <c r="K528" i="4"/>
  <c r="J528" i="4"/>
  <c r="I528" i="4"/>
  <c r="H528" i="4"/>
  <c r="G528" i="4"/>
  <c r="F528" i="4"/>
  <c r="E528" i="4"/>
  <c r="D528" i="4"/>
  <c r="C528" i="4"/>
  <c r="B528" i="4"/>
  <c r="A528" i="4"/>
  <c r="Q527" i="4"/>
  <c r="P527" i="4"/>
  <c r="O527" i="4"/>
  <c r="N527" i="4"/>
  <c r="L527" i="4"/>
  <c r="K527" i="4"/>
  <c r="J527" i="4"/>
  <c r="I527" i="4"/>
  <c r="H527" i="4"/>
  <c r="G527" i="4"/>
  <c r="F527" i="4"/>
  <c r="E527" i="4"/>
  <c r="D527" i="4"/>
  <c r="C527" i="4"/>
  <c r="B527" i="4"/>
  <c r="A527" i="4"/>
  <c r="Q526" i="4"/>
  <c r="P526" i="4"/>
  <c r="O526" i="4"/>
  <c r="N526" i="4"/>
  <c r="L526" i="4"/>
  <c r="K526" i="4"/>
  <c r="J526" i="4"/>
  <c r="I526" i="4"/>
  <c r="H526" i="4"/>
  <c r="G526" i="4"/>
  <c r="F526" i="4"/>
  <c r="E526" i="4"/>
  <c r="D526" i="4"/>
  <c r="C526" i="4"/>
  <c r="B526" i="4"/>
  <c r="A526" i="4"/>
  <c r="Q525" i="4"/>
  <c r="P525" i="4"/>
  <c r="O525" i="4"/>
  <c r="N525" i="4"/>
  <c r="L525" i="4"/>
  <c r="K525" i="4"/>
  <c r="J525" i="4"/>
  <c r="I525" i="4"/>
  <c r="H525" i="4"/>
  <c r="G525" i="4"/>
  <c r="F525" i="4"/>
  <c r="E525" i="4"/>
  <c r="D525" i="4"/>
  <c r="C525" i="4"/>
  <c r="B525" i="4"/>
  <c r="A525" i="4"/>
  <c r="Q524" i="4"/>
  <c r="P524" i="4"/>
  <c r="O524" i="4"/>
  <c r="N524" i="4"/>
  <c r="L524" i="4"/>
  <c r="K524" i="4"/>
  <c r="J524" i="4"/>
  <c r="I524" i="4"/>
  <c r="H524" i="4"/>
  <c r="G524" i="4"/>
  <c r="F524" i="4"/>
  <c r="E524" i="4"/>
  <c r="D524" i="4"/>
  <c r="C524" i="4"/>
  <c r="B524" i="4"/>
  <c r="A524" i="4"/>
  <c r="Q523" i="4"/>
  <c r="P523" i="4"/>
  <c r="O523" i="4"/>
  <c r="N523" i="4"/>
  <c r="L523" i="4"/>
  <c r="K523" i="4"/>
  <c r="J523" i="4"/>
  <c r="I523" i="4"/>
  <c r="H523" i="4"/>
  <c r="G523" i="4"/>
  <c r="F523" i="4"/>
  <c r="E523" i="4"/>
  <c r="D523" i="4"/>
  <c r="C523" i="4"/>
  <c r="B523" i="4"/>
  <c r="A523" i="4"/>
  <c r="Q522" i="4"/>
  <c r="P522" i="4"/>
  <c r="O522" i="4"/>
  <c r="N522" i="4"/>
  <c r="L522" i="4"/>
  <c r="K522" i="4"/>
  <c r="J522" i="4"/>
  <c r="I522" i="4"/>
  <c r="H522" i="4"/>
  <c r="G522" i="4"/>
  <c r="F522" i="4"/>
  <c r="E522" i="4"/>
  <c r="D522" i="4"/>
  <c r="C522" i="4"/>
  <c r="B522" i="4"/>
  <c r="A522" i="4"/>
  <c r="Q521" i="4"/>
  <c r="P521" i="4"/>
  <c r="O521" i="4"/>
  <c r="N521" i="4"/>
  <c r="L521" i="4"/>
  <c r="K521" i="4"/>
  <c r="J521" i="4"/>
  <c r="I521" i="4"/>
  <c r="H521" i="4"/>
  <c r="G521" i="4"/>
  <c r="F521" i="4"/>
  <c r="E521" i="4"/>
  <c r="D521" i="4"/>
  <c r="C521" i="4"/>
  <c r="B521" i="4"/>
  <c r="A521" i="4"/>
  <c r="Q520" i="4"/>
  <c r="P520" i="4"/>
  <c r="O520" i="4"/>
  <c r="N520" i="4"/>
  <c r="L520" i="4"/>
  <c r="K520" i="4"/>
  <c r="J520" i="4"/>
  <c r="I520" i="4"/>
  <c r="H520" i="4"/>
  <c r="G520" i="4"/>
  <c r="F520" i="4"/>
  <c r="E520" i="4"/>
  <c r="D520" i="4"/>
  <c r="C520" i="4"/>
  <c r="B520" i="4"/>
  <c r="A520" i="4"/>
  <c r="Q519" i="4"/>
  <c r="P519" i="4"/>
  <c r="O519" i="4"/>
  <c r="N519" i="4"/>
  <c r="L519" i="4"/>
  <c r="K519" i="4"/>
  <c r="J519" i="4"/>
  <c r="I519" i="4"/>
  <c r="H519" i="4"/>
  <c r="G519" i="4"/>
  <c r="F519" i="4"/>
  <c r="E519" i="4"/>
  <c r="D519" i="4"/>
  <c r="C519" i="4"/>
  <c r="B519" i="4"/>
  <c r="A519" i="4"/>
  <c r="Q518" i="4"/>
  <c r="P518" i="4"/>
  <c r="O518" i="4"/>
  <c r="N518" i="4"/>
  <c r="L518" i="4"/>
  <c r="K518" i="4"/>
  <c r="J518" i="4"/>
  <c r="I518" i="4"/>
  <c r="H518" i="4"/>
  <c r="G518" i="4"/>
  <c r="F518" i="4"/>
  <c r="E518" i="4"/>
  <c r="D518" i="4"/>
  <c r="C518" i="4"/>
  <c r="B518" i="4"/>
  <c r="A518" i="4"/>
  <c r="Q517" i="4"/>
  <c r="P517" i="4"/>
  <c r="O517" i="4"/>
  <c r="N517" i="4"/>
  <c r="L517" i="4"/>
  <c r="K517" i="4"/>
  <c r="J517" i="4"/>
  <c r="I517" i="4"/>
  <c r="H517" i="4"/>
  <c r="G517" i="4"/>
  <c r="F517" i="4"/>
  <c r="E517" i="4"/>
  <c r="D517" i="4"/>
  <c r="C517" i="4"/>
  <c r="B517" i="4"/>
  <c r="A517" i="4"/>
  <c r="Q516" i="4"/>
  <c r="P516" i="4"/>
  <c r="O516" i="4"/>
  <c r="N516" i="4"/>
  <c r="L516" i="4"/>
  <c r="K516" i="4"/>
  <c r="J516" i="4"/>
  <c r="I516" i="4"/>
  <c r="H516" i="4"/>
  <c r="G516" i="4"/>
  <c r="F516" i="4"/>
  <c r="E516" i="4"/>
  <c r="D516" i="4"/>
  <c r="C516" i="4"/>
  <c r="B516" i="4"/>
  <c r="A516" i="4"/>
  <c r="Q515" i="4"/>
  <c r="P515" i="4"/>
  <c r="O515" i="4"/>
  <c r="N515" i="4"/>
  <c r="L515" i="4"/>
  <c r="K515" i="4"/>
  <c r="J515" i="4"/>
  <c r="I515" i="4"/>
  <c r="H515" i="4"/>
  <c r="G515" i="4"/>
  <c r="F515" i="4"/>
  <c r="E515" i="4"/>
  <c r="D515" i="4"/>
  <c r="C515" i="4"/>
  <c r="B515" i="4"/>
  <c r="A515" i="4"/>
  <c r="Q514" i="4"/>
  <c r="P514" i="4"/>
  <c r="O514" i="4"/>
  <c r="N514" i="4"/>
  <c r="L514" i="4"/>
  <c r="K514" i="4"/>
  <c r="J514" i="4"/>
  <c r="I514" i="4"/>
  <c r="H514" i="4"/>
  <c r="G514" i="4"/>
  <c r="F514" i="4"/>
  <c r="E514" i="4"/>
  <c r="D514" i="4"/>
  <c r="C514" i="4"/>
  <c r="B514" i="4"/>
  <c r="A514" i="4"/>
  <c r="Q513" i="4"/>
  <c r="P513" i="4"/>
  <c r="O513" i="4"/>
  <c r="N513" i="4"/>
  <c r="L513" i="4"/>
  <c r="K513" i="4"/>
  <c r="J513" i="4"/>
  <c r="I513" i="4"/>
  <c r="H513" i="4"/>
  <c r="G513" i="4"/>
  <c r="F513" i="4"/>
  <c r="E513" i="4"/>
  <c r="D513" i="4"/>
  <c r="C513" i="4"/>
  <c r="B513" i="4"/>
  <c r="A513" i="4"/>
  <c r="Q512" i="4"/>
  <c r="P512" i="4"/>
  <c r="O512" i="4"/>
  <c r="N512" i="4"/>
  <c r="L512" i="4"/>
  <c r="K512" i="4"/>
  <c r="J512" i="4"/>
  <c r="I512" i="4"/>
  <c r="H512" i="4"/>
  <c r="G512" i="4"/>
  <c r="F512" i="4"/>
  <c r="E512" i="4"/>
  <c r="D512" i="4"/>
  <c r="C512" i="4"/>
  <c r="B512" i="4"/>
  <c r="A512" i="4"/>
  <c r="Q511" i="4"/>
  <c r="P511" i="4"/>
  <c r="O511" i="4"/>
  <c r="N511" i="4"/>
  <c r="L511" i="4"/>
  <c r="K511" i="4"/>
  <c r="J511" i="4"/>
  <c r="I511" i="4"/>
  <c r="H511" i="4"/>
  <c r="G511" i="4"/>
  <c r="F511" i="4"/>
  <c r="E511" i="4"/>
  <c r="D511" i="4"/>
  <c r="C511" i="4"/>
  <c r="B511" i="4"/>
  <c r="A511" i="4"/>
  <c r="Q510" i="4"/>
  <c r="P510" i="4"/>
  <c r="O510" i="4"/>
  <c r="N510" i="4"/>
  <c r="L510" i="4"/>
  <c r="K510" i="4"/>
  <c r="J510" i="4"/>
  <c r="I510" i="4"/>
  <c r="H510" i="4"/>
  <c r="G510" i="4"/>
  <c r="F510" i="4"/>
  <c r="E510" i="4"/>
  <c r="D510" i="4"/>
  <c r="C510" i="4"/>
  <c r="B510" i="4"/>
  <c r="A510" i="4"/>
  <c r="Q509" i="4"/>
  <c r="P509" i="4"/>
  <c r="O509" i="4"/>
  <c r="N509" i="4"/>
  <c r="L509" i="4"/>
  <c r="K509" i="4"/>
  <c r="J509" i="4"/>
  <c r="I509" i="4"/>
  <c r="H509" i="4"/>
  <c r="G509" i="4"/>
  <c r="F509" i="4"/>
  <c r="E509" i="4"/>
  <c r="D509" i="4"/>
  <c r="C509" i="4"/>
  <c r="B509" i="4"/>
  <c r="A509" i="4"/>
  <c r="Q508" i="4"/>
  <c r="P508" i="4"/>
  <c r="O508" i="4"/>
  <c r="N508" i="4"/>
  <c r="L508" i="4"/>
  <c r="K508" i="4"/>
  <c r="J508" i="4"/>
  <c r="I508" i="4"/>
  <c r="H508" i="4"/>
  <c r="G508" i="4"/>
  <c r="F508" i="4"/>
  <c r="E508" i="4"/>
  <c r="D508" i="4"/>
  <c r="C508" i="4"/>
  <c r="B508" i="4"/>
  <c r="A508" i="4"/>
  <c r="Q507" i="4"/>
  <c r="P507" i="4"/>
  <c r="O507" i="4"/>
  <c r="N507" i="4"/>
  <c r="L507" i="4"/>
  <c r="K507" i="4"/>
  <c r="J507" i="4"/>
  <c r="I507" i="4"/>
  <c r="H507" i="4"/>
  <c r="G507" i="4"/>
  <c r="F507" i="4"/>
  <c r="E507" i="4"/>
  <c r="D507" i="4"/>
  <c r="C507" i="4"/>
  <c r="B507" i="4"/>
  <c r="A507" i="4"/>
  <c r="Q506" i="4"/>
  <c r="P506" i="4"/>
  <c r="O506" i="4"/>
  <c r="N506" i="4"/>
  <c r="L506" i="4"/>
  <c r="K506" i="4"/>
  <c r="J506" i="4"/>
  <c r="I506" i="4"/>
  <c r="H506" i="4"/>
  <c r="G506" i="4"/>
  <c r="F506" i="4"/>
  <c r="E506" i="4"/>
  <c r="D506" i="4"/>
  <c r="C506" i="4"/>
  <c r="B506" i="4"/>
  <c r="A506" i="4"/>
  <c r="Q505" i="4"/>
  <c r="P505" i="4"/>
  <c r="O505" i="4"/>
  <c r="N505" i="4"/>
  <c r="L505" i="4"/>
  <c r="K505" i="4"/>
  <c r="J505" i="4"/>
  <c r="I505" i="4"/>
  <c r="H505" i="4"/>
  <c r="G505" i="4"/>
  <c r="F505" i="4"/>
  <c r="E505" i="4"/>
  <c r="D505" i="4"/>
  <c r="C505" i="4"/>
  <c r="B505" i="4"/>
  <c r="A505" i="4"/>
  <c r="Q504" i="4"/>
  <c r="P504" i="4"/>
  <c r="O504" i="4"/>
  <c r="N504" i="4"/>
  <c r="L504" i="4"/>
  <c r="K504" i="4"/>
  <c r="J504" i="4"/>
  <c r="I504" i="4"/>
  <c r="H504" i="4"/>
  <c r="G504" i="4"/>
  <c r="F504" i="4"/>
  <c r="E504" i="4"/>
  <c r="D504" i="4"/>
  <c r="C504" i="4"/>
  <c r="B504" i="4"/>
  <c r="A504" i="4"/>
  <c r="Q503" i="4"/>
  <c r="P503" i="4"/>
  <c r="O503" i="4"/>
  <c r="N503" i="4"/>
  <c r="L503" i="4"/>
  <c r="K503" i="4"/>
  <c r="J503" i="4"/>
  <c r="I503" i="4"/>
  <c r="H503" i="4"/>
  <c r="G503" i="4"/>
  <c r="F503" i="4"/>
  <c r="E503" i="4"/>
  <c r="D503" i="4"/>
  <c r="C503" i="4"/>
  <c r="B503" i="4"/>
  <c r="A503" i="4"/>
  <c r="Q502" i="4"/>
  <c r="P502" i="4"/>
  <c r="O502" i="4"/>
  <c r="N502" i="4"/>
  <c r="L502" i="4"/>
  <c r="K502" i="4"/>
  <c r="J502" i="4"/>
  <c r="I502" i="4"/>
  <c r="H502" i="4"/>
  <c r="G502" i="4"/>
  <c r="F502" i="4"/>
  <c r="E502" i="4"/>
  <c r="D502" i="4"/>
  <c r="C502" i="4"/>
  <c r="B502" i="4"/>
  <c r="A502" i="4"/>
  <c r="Q501" i="4"/>
  <c r="P501" i="4"/>
  <c r="O501" i="4"/>
  <c r="N501" i="4"/>
  <c r="L501" i="4"/>
  <c r="K501" i="4"/>
  <c r="J501" i="4"/>
  <c r="I501" i="4"/>
  <c r="H501" i="4"/>
  <c r="G501" i="4"/>
  <c r="F501" i="4"/>
  <c r="E501" i="4"/>
  <c r="D501" i="4"/>
  <c r="C501" i="4"/>
  <c r="B501" i="4"/>
  <c r="A501" i="4"/>
  <c r="Q500" i="4"/>
  <c r="P500" i="4"/>
  <c r="O500" i="4"/>
  <c r="N500" i="4"/>
  <c r="L500" i="4"/>
  <c r="K500" i="4"/>
  <c r="J500" i="4"/>
  <c r="I500" i="4"/>
  <c r="H500" i="4"/>
  <c r="G500" i="4"/>
  <c r="F500" i="4"/>
  <c r="E500" i="4"/>
  <c r="D500" i="4"/>
  <c r="C500" i="4"/>
  <c r="B500" i="4"/>
  <c r="A500" i="4"/>
  <c r="Q499" i="4"/>
  <c r="P499" i="4"/>
  <c r="O499" i="4"/>
  <c r="N499" i="4"/>
  <c r="L499" i="4"/>
  <c r="K499" i="4"/>
  <c r="J499" i="4"/>
  <c r="I499" i="4"/>
  <c r="H499" i="4"/>
  <c r="G499" i="4"/>
  <c r="F499" i="4"/>
  <c r="E499" i="4"/>
  <c r="D499" i="4"/>
  <c r="C499" i="4"/>
  <c r="B499" i="4"/>
  <c r="A499" i="4"/>
  <c r="Q498" i="4"/>
  <c r="P498" i="4"/>
  <c r="O498" i="4"/>
  <c r="N498" i="4"/>
  <c r="L498" i="4"/>
  <c r="K498" i="4"/>
  <c r="J498" i="4"/>
  <c r="I498" i="4"/>
  <c r="H498" i="4"/>
  <c r="G498" i="4"/>
  <c r="F498" i="4"/>
  <c r="E498" i="4"/>
  <c r="D498" i="4"/>
  <c r="C498" i="4"/>
  <c r="B498" i="4"/>
  <c r="A498" i="4"/>
  <c r="Q497" i="4"/>
  <c r="P497" i="4"/>
  <c r="O497" i="4"/>
  <c r="N497" i="4"/>
  <c r="L497" i="4"/>
  <c r="K497" i="4"/>
  <c r="J497" i="4"/>
  <c r="I497" i="4"/>
  <c r="H497" i="4"/>
  <c r="G497" i="4"/>
  <c r="F497" i="4"/>
  <c r="E497" i="4"/>
  <c r="D497" i="4"/>
  <c r="C497" i="4"/>
  <c r="B497" i="4"/>
  <c r="A497" i="4"/>
  <c r="Q496" i="4"/>
  <c r="P496" i="4"/>
  <c r="O496" i="4"/>
  <c r="N496" i="4"/>
  <c r="L496" i="4"/>
  <c r="K496" i="4"/>
  <c r="J496" i="4"/>
  <c r="I496" i="4"/>
  <c r="H496" i="4"/>
  <c r="G496" i="4"/>
  <c r="F496" i="4"/>
  <c r="E496" i="4"/>
  <c r="D496" i="4"/>
  <c r="C496" i="4"/>
  <c r="B496" i="4"/>
  <c r="A496" i="4"/>
  <c r="Q495" i="4"/>
  <c r="P495" i="4"/>
  <c r="O495" i="4"/>
  <c r="N495" i="4"/>
  <c r="L495" i="4"/>
  <c r="K495" i="4"/>
  <c r="J495" i="4"/>
  <c r="I495" i="4"/>
  <c r="H495" i="4"/>
  <c r="G495" i="4"/>
  <c r="F495" i="4"/>
  <c r="E495" i="4"/>
  <c r="D495" i="4"/>
  <c r="C495" i="4"/>
  <c r="B495" i="4"/>
  <c r="A495" i="4"/>
  <c r="Q494" i="4"/>
  <c r="P494" i="4"/>
  <c r="O494" i="4"/>
  <c r="N494" i="4"/>
  <c r="L494" i="4"/>
  <c r="K494" i="4"/>
  <c r="J494" i="4"/>
  <c r="I494" i="4"/>
  <c r="H494" i="4"/>
  <c r="G494" i="4"/>
  <c r="F494" i="4"/>
  <c r="E494" i="4"/>
  <c r="D494" i="4"/>
  <c r="C494" i="4"/>
  <c r="B494" i="4"/>
  <c r="A494" i="4"/>
  <c r="Q493" i="4"/>
  <c r="P493" i="4"/>
  <c r="O493" i="4"/>
  <c r="N493" i="4"/>
  <c r="L493" i="4"/>
  <c r="K493" i="4"/>
  <c r="J493" i="4"/>
  <c r="I493" i="4"/>
  <c r="H493" i="4"/>
  <c r="G493" i="4"/>
  <c r="F493" i="4"/>
  <c r="E493" i="4"/>
  <c r="D493" i="4"/>
  <c r="C493" i="4"/>
  <c r="B493" i="4"/>
  <c r="A493" i="4"/>
  <c r="Q492" i="4"/>
  <c r="P492" i="4"/>
  <c r="O492" i="4"/>
  <c r="N492" i="4"/>
  <c r="L492" i="4"/>
  <c r="K492" i="4"/>
  <c r="J492" i="4"/>
  <c r="I492" i="4"/>
  <c r="H492" i="4"/>
  <c r="G492" i="4"/>
  <c r="F492" i="4"/>
  <c r="E492" i="4"/>
  <c r="D492" i="4"/>
  <c r="C492" i="4"/>
  <c r="B492" i="4"/>
  <c r="A492" i="4"/>
  <c r="Q491" i="4"/>
  <c r="P491" i="4"/>
  <c r="O491" i="4"/>
  <c r="N491" i="4"/>
  <c r="L491" i="4"/>
  <c r="K491" i="4"/>
  <c r="J491" i="4"/>
  <c r="I491" i="4"/>
  <c r="H491" i="4"/>
  <c r="G491" i="4"/>
  <c r="F491" i="4"/>
  <c r="E491" i="4"/>
  <c r="D491" i="4"/>
  <c r="C491" i="4"/>
  <c r="B491" i="4"/>
  <c r="A491" i="4"/>
  <c r="Q490" i="4"/>
  <c r="P490" i="4"/>
  <c r="O490" i="4"/>
  <c r="N490" i="4"/>
  <c r="L490" i="4"/>
  <c r="K490" i="4"/>
  <c r="J490" i="4"/>
  <c r="I490" i="4"/>
  <c r="H490" i="4"/>
  <c r="G490" i="4"/>
  <c r="F490" i="4"/>
  <c r="E490" i="4"/>
  <c r="D490" i="4"/>
  <c r="C490" i="4"/>
  <c r="B490" i="4"/>
  <c r="A490" i="4"/>
  <c r="Q489" i="4"/>
  <c r="P489" i="4"/>
  <c r="O489" i="4"/>
  <c r="N489" i="4"/>
  <c r="L489" i="4"/>
  <c r="K489" i="4"/>
  <c r="J489" i="4"/>
  <c r="I489" i="4"/>
  <c r="H489" i="4"/>
  <c r="G489" i="4"/>
  <c r="F489" i="4"/>
  <c r="E489" i="4"/>
  <c r="D489" i="4"/>
  <c r="C489" i="4"/>
  <c r="B489" i="4"/>
  <c r="A489" i="4"/>
  <c r="Q488" i="4"/>
  <c r="P488" i="4"/>
  <c r="O488" i="4"/>
  <c r="N488" i="4"/>
  <c r="L488" i="4"/>
  <c r="K488" i="4"/>
  <c r="J488" i="4"/>
  <c r="I488" i="4"/>
  <c r="H488" i="4"/>
  <c r="G488" i="4"/>
  <c r="F488" i="4"/>
  <c r="E488" i="4"/>
  <c r="D488" i="4"/>
  <c r="C488" i="4"/>
  <c r="B488" i="4"/>
  <c r="A488" i="4"/>
  <c r="Q487" i="4"/>
  <c r="P487" i="4"/>
  <c r="O487" i="4"/>
  <c r="N487" i="4"/>
  <c r="L487" i="4"/>
  <c r="K487" i="4"/>
  <c r="J487" i="4"/>
  <c r="I487" i="4"/>
  <c r="H487" i="4"/>
  <c r="G487" i="4"/>
  <c r="F487" i="4"/>
  <c r="E487" i="4"/>
  <c r="D487" i="4"/>
  <c r="C487" i="4"/>
  <c r="B487" i="4"/>
  <c r="A487" i="4"/>
  <c r="Q486" i="4"/>
  <c r="P486" i="4"/>
  <c r="O486" i="4"/>
  <c r="N486" i="4"/>
  <c r="L486" i="4"/>
  <c r="K486" i="4"/>
  <c r="J486" i="4"/>
  <c r="I486" i="4"/>
  <c r="H486" i="4"/>
  <c r="G486" i="4"/>
  <c r="F486" i="4"/>
  <c r="E486" i="4"/>
  <c r="D486" i="4"/>
  <c r="C486" i="4"/>
  <c r="B486" i="4"/>
  <c r="A486" i="4"/>
  <c r="Q485" i="4"/>
  <c r="P485" i="4"/>
  <c r="O485" i="4"/>
  <c r="N485" i="4"/>
  <c r="L485" i="4"/>
  <c r="K485" i="4"/>
  <c r="J485" i="4"/>
  <c r="I485" i="4"/>
  <c r="H485" i="4"/>
  <c r="G485" i="4"/>
  <c r="F485" i="4"/>
  <c r="E485" i="4"/>
  <c r="D485" i="4"/>
  <c r="C485" i="4"/>
  <c r="B485" i="4"/>
  <c r="A485" i="4"/>
  <c r="Q484" i="4"/>
  <c r="P484" i="4"/>
  <c r="O484" i="4"/>
  <c r="N484" i="4"/>
  <c r="L484" i="4"/>
  <c r="K484" i="4"/>
  <c r="J484" i="4"/>
  <c r="I484" i="4"/>
  <c r="H484" i="4"/>
  <c r="G484" i="4"/>
  <c r="F484" i="4"/>
  <c r="E484" i="4"/>
  <c r="D484" i="4"/>
  <c r="C484" i="4"/>
  <c r="B484" i="4"/>
  <c r="A484" i="4"/>
  <c r="Q483" i="4"/>
  <c r="P483" i="4"/>
  <c r="O483" i="4"/>
  <c r="N483" i="4"/>
  <c r="L483" i="4"/>
  <c r="K483" i="4"/>
  <c r="J483" i="4"/>
  <c r="I483" i="4"/>
  <c r="H483" i="4"/>
  <c r="G483" i="4"/>
  <c r="F483" i="4"/>
  <c r="E483" i="4"/>
  <c r="D483" i="4"/>
  <c r="C483" i="4"/>
  <c r="B483" i="4"/>
  <c r="A483" i="4"/>
  <c r="Q482" i="4"/>
  <c r="P482" i="4"/>
  <c r="O482" i="4"/>
  <c r="N482" i="4"/>
  <c r="L482" i="4"/>
  <c r="K482" i="4"/>
  <c r="J482" i="4"/>
  <c r="I482" i="4"/>
  <c r="H482" i="4"/>
  <c r="G482" i="4"/>
  <c r="F482" i="4"/>
  <c r="E482" i="4"/>
  <c r="D482" i="4"/>
  <c r="C482" i="4"/>
  <c r="B482" i="4"/>
  <c r="A482" i="4"/>
  <c r="Q481" i="4"/>
  <c r="P481" i="4"/>
  <c r="O481" i="4"/>
  <c r="N481" i="4"/>
  <c r="L481" i="4"/>
  <c r="K481" i="4"/>
  <c r="J481" i="4"/>
  <c r="I481" i="4"/>
  <c r="H481" i="4"/>
  <c r="G481" i="4"/>
  <c r="F481" i="4"/>
  <c r="E481" i="4"/>
  <c r="D481" i="4"/>
  <c r="C481" i="4"/>
  <c r="B481" i="4"/>
  <c r="A481" i="4"/>
  <c r="Q480" i="4"/>
  <c r="P480" i="4"/>
  <c r="O480" i="4"/>
  <c r="N480" i="4"/>
  <c r="L480" i="4"/>
  <c r="K480" i="4"/>
  <c r="J480" i="4"/>
  <c r="I480" i="4"/>
  <c r="H480" i="4"/>
  <c r="G480" i="4"/>
  <c r="F480" i="4"/>
  <c r="E480" i="4"/>
  <c r="D480" i="4"/>
  <c r="C480" i="4"/>
  <c r="B480" i="4"/>
  <c r="A480" i="4"/>
  <c r="Q479" i="4"/>
  <c r="P479" i="4"/>
  <c r="O479" i="4"/>
  <c r="N479" i="4"/>
  <c r="L479" i="4"/>
  <c r="K479" i="4"/>
  <c r="J479" i="4"/>
  <c r="I479" i="4"/>
  <c r="H479" i="4"/>
  <c r="G479" i="4"/>
  <c r="F479" i="4"/>
  <c r="E479" i="4"/>
  <c r="D479" i="4"/>
  <c r="C479" i="4"/>
  <c r="B479" i="4"/>
  <c r="A479" i="4"/>
  <c r="Q478" i="4"/>
  <c r="P478" i="4"/>
  <c r="O478" i="4"/>
  <c r="N478" i="4"/>
  <c r="L478" i="4"/>
  <c r="K478" i="4"/>
  <c r="J478" i="4"/>
  <c r="I478" i="4"/>
  <c r="H478" i="4"/>
  <c r="G478" i="4"/>
  <c r="F478" i="4"/>
  <c r="E478" i="4"/>
  <c r="D478" i="4"/>
  <c r="C478" i="4"/>
  <c r="B478" i="4"/>
  <c r="A478" i="4"/>
  <c r="Q477" i="4"/>
  <c r="P477" i="4"/>
  <c r="O477" i="4"/>
  <c r="N477" i="4"/>
  <c r="L477" i="4"/>
  <c r="K477" i="4"/>
  <c r="J477" i="4"/>
  <c r="I477" i="4"/>
  <c r="H477" i="4"/>
  <c r="G477" i="4"/>
  <c r="F477" i="4"/>
  <c r="E477" i="4"/>
  <c r="D477" i="4"/>
  <c r="C477" i="4"/>
  <c r="B477" i="4"/>
  <c r="A477" i="4"/>
  <c r="Q476" i="4"/>
  <c r="P476" i="4"/>
  <c r="O476" i="4"/>
  <c r="N476" i="4"/>
  <c r="L476" i="4"/>
  <c r="K476" i="4"/>
  <c r="J476" i="4"/>
  <c r="I476" i="4"/>
  <c r="H476" i="4"/>
  <c r="G476" i="4"/>
  <c r="F476" i="4"/>
  <c r="E476" i="4"/>
  <c r="D476" i="4"/>
  <c r="C476" i="4"/>
  <c r="B476" i="4"/>
  <c r="A476" i="4"/>
  <c r="Q475" i="4"/>
  <c r="P475" i="4"/>
  <c r="O475" i="4"/>
  <c r="N475" i="4"/>
  <c r="L475" i="4"/>
  <c r="K475" i="4"/>
  <c r="J475" i="4"/>
  <c r="I475" i="4"/>
  <c r="H475" i="4"/>
  <c r="G475" i="4"/>
  <c r="F475" i="4"/>
  <c r="E475" i="4"/>
  <c r="D475" i="4"/>
  <c r="C475" i="4"/>
  <c r="B475" i="4"/>
  <c r="A475" i="4"/>
  <c r="Q474" i="4"/>
  <c r="P474" i="4"/>
  <c r="O474" i="4"/>
  <c r="N474" i="4"/>
  <c r="L474" i="4"/>
  <c r="K474" i="4"/>
  <c r="J474" i="4"/>
  <c r="I474" i="4"/>
  <c r="H474" i="4"/>
  <c r="G474" i="4"/>
  <c r="F474" i="4"/>
  <c r="E474" i="4"/>
  <c r="D474" i="4"/>
  <c r="C474" i="4"/>
  <c r="B474" i="4"/>
  <c r="A474" i="4"/>
  <c r="Q473" i="4"/>
  <c r="P473" i="4"/>
  <c r="O473" i="4"/>
  <c r="N473" i="4"/>
  <c r="L473" i="4"/>
  <c r="K473" i="4"/>
  <c r="J473" i="4"/>
  <c r="I473" i="4"/>
  <c r="H473" i="4"/>
  <c r="G473" i="4"/>
  <c r="F473" i="4"/>
  <c r="E473" i="4"/>
  <c r="D473" i="4"/>
  <c r="C473" i="4"/>
  <c r="B473" i="4"/>
  <c r="A473" i="4"/>
  <c r="Q472" i="4"/>
  <c r="P472" i="4"/>
  <c r="O472" i="4"/>
  <c r="N472" i="4"/>
  <c r="L472" i="4"/>
  <c r="K472" i="4"/>
  <c r="J472" i="4"/>
  <c r="I472" i="4"/>
  <c r="H472" i="4"/>
  <c r="G472" i="4"/>
  <c r="F472" i="4"/>
  <c r="E472" i="4"/>
  <c r="D472" i="4"/>
  <c r="C472" i="4"/>
  <c r="B472" i="4"/>
  <c r="A472" i="4"/>
  <c r="Q471" i="4"/>
  <c r="P471" i="4"/>
  <c r="O471" i="4"/>
  <c r="N471" i="4"/>
  <c r="L471" i="4"/>
  <c r="K471" i="4"/>
  <c r="J471" i="4"/>
  <c r="I471" i="4"/>
  <c r="H471" i="4"/>
  <c r="G471" i="4"/>
  <c r="F471" i="4"/>
  <c r="E471" i="4"/>
  <c r="D471" i="4"/>
  <c r="C471" i="4"/>
  <c r="B471" i="4"/>
  <c r="A471" i="4"/>
  <c r="Q470" i="4"/>
  <c r="P470" i="4"/>
  <c r="O470" i="4"/>
  <c r="N470" i="4"/>
  <c r="L470" i="4"/>
  <c r="K470" i="4"/>
  <c r="J470" i="4"/>
  <c r="I470" i="4"/>
  <c r="H470" i="4"/>
  <c r="G470" i="4"/>
  <c r="F470" i="4"/>
  <c r="E470" i="4"/>
  <c r="D470" i="4"/>
  <c r="C470" i="4"/>
  <c r="B470" i="4"/>
  <c r="A470" i="4"/>
  <c r="Q469" i="4"/>
  <c r="P469" i="4"/>
  <c r="O469" i="4"/>
  <c r="N469" i="4"/>
  <c r="L469" i="4"/>
  <c r="K469" i="4"/>
  <c r="J469" i="4"/>
  <c r="I469" i="4"/>
  <c r="H469" i="4"/>
  <c r="G469" i="4"/>
  <c r="F469" i="4"/>
  <c r="E469" i="4"/>
  <c r="D469" i="4"/>
  <c r="C469" i="4"/>
  <c r="B469" i="4"/>
  <c r="A469" i="4"/>
  <c r="Q468" i="4"/>
  <c r="P468" i="4"/>
  <c r="O468" i="4"/>
  <c r="N468" i="4"/>
  <c r="L468" i="4"/>
  <c r="K468" i="4"/>
  <c r="J468" i="4"/>
  <c r="I468" i="4"/>
  <c r="H468" i="4"/>
  <c r="G468" i="4"/>
  <c r="F468" i="4"/>
  <c r="E468" i="4"/>
  <c r="D468" i="4"/>
  <c r="C468" i="4"/>
  <c r="B468" i="4"/>
  <c r="A468" i="4"/>
  <c r="Q467" i="4"/>
  <c r="P467" i="4"/>
  <c r="O467" i="4"/>
  <c r="N467" i="4"/>
  <c r="L467" i="4"/>
  <c r="K467" i="4"/>
  <c r="J467" i="4"/>
  <c r="I467" i="4"/>
  <c r="H467" i="4"/>
  <c r="G467" i="4"/>
  <c r="F467" i="4"/>
  <c r="E467" i="4"/>
  <c r="D467" i="4"/>
  <c r="C467" i="4"/>
  <c r="B467" i="4"/>
  <c r="A467" i="4"/>
  <c r="Q466" i="4"/>
  <c r="P466" i="4"/>
  <c r="O466" i="4"/>
  <c r="N466" i="4"/>
  <c r="L466" i="4"/>
  <c r="K466" i="4"/>
  <c r="J466" i="4"/>
  <c r="I466" i="4"/>
  <c r="H466" i="4"/>
  <c r="G466" i="4"/>
  <c r="F466" i="4"/>
  <c r="E466" i="4"/>
  <c r="D466" i="4"/>
  <c r="C466" i="4"/>
  <c r="B466" i="4"/>
  <c r="A466" i="4"/>
  <c r="Q465" i="4"/>
  <c r="P465" i="4"/>
  <c r="O465" i="4"/>
  <c r="N465" i="4"/>
  <c r="L465" i="4"/>
  <c r="K465" i="4"/>
  <c r="J465" i="4"/>
  <c r="I465" i="4"/>
  <c r="H465" i="4"/>
  <c r="G465" i="4"/>
  <c r="F465" i="4"/>
  <c r="E465" i="4"/>
  <c r="D465" i="4"/>
  <c r="C465" i="4"/>
  <c r="B465" i="4"/>
  <c r="A465" i="4"/>
  <c r="Q464" i="4"/>
  <c r="P464" i="4"/>
  <c r="O464" i="4"/>
  <c r="N464" i="4"/>
  <c r="L464" i="4"/>
  <c r="K464" i="4"/>
  <c r="J464" i="4"/>
  <c r="I464" i="4"/>
  <c r="H464" i="4"/>
  <c r="G464" i="4"/>
  <c r="F464" i="4"/>
  <c r="E464" i="4"/>
  <c r="D464" i="4"/>
  <c r="C464" i="4"/>
  <c r="B464" i="4"/>
  <c r="A464" i="4"/>
  <c r="Q463" i="4"/>
  <c r="P463" i="4"/>
  <c r="O463" i="4"/>
  <c r="N463" i="4"/>
  <c r="L463" i="4"/>
  <c r="K463" i="4"/>
  <c r="J463" i="4"/>
  <c r="I463" i="4"/>
  <c r="H463" i="4"/>
  <c r="G463" i="4"/>
  <c r="F463" i="4"/>
  <c r="E463" i="4"/>
  <c r="D463" i="4"/>
  <c r="C463" i="4"/>
  <c r="B463" i="4"/>
  <c r="A463" i="4"/>
  <c r="Q462" i="4"/>
  <c r="P462" i="4"/>
  <c r="O462" i="4"/>
  <c r="N462" i="4"/>
  <c r="L462" i="4"/>
  <c r="K462" i="4"/>
  <c r="J462" i="4"/>
  <c r="I462" i="4"/>
  <c r="H462" i="4"/>
  <c r="G462" i="4"/>
  <c r="F462" i="4"/>
  <c r="E462" i="4"/>
  <c r="D462" i="4"/>
  <c r="C462" i="4"/>
  <c r="B462" i="4"/>
  <c r="A462" i="4"/>
  <c r="Q461" i="4"/>
  <c r="P461" i="4"/>
  <c r="O461" i="4"/>
  <c r="N461" i="4"/>
  <c r="L461" i="4"/>
  <c r="K461" i="4"/>
  <c r="J461" i="4"/>
  <c r="I461" i="4"/>
  <c r="H461" i="4"/>
  <c r="G461" i="4"/>
  <c r="F461" i="4"/>
  <c r="E461" i="4"/>
  <c r="D461" i="4"/>
  <c r="C461" i="4"/>
  <c r="B461" i="4"/>
  <c r="A461" i="4"/>
  <c r="Q460" i="4"/>
  <c r="P460" i="4"/>
  <c r="O460" i="4"/>
  <c r="N460" i="4"/>
  <c r="L460" i="4"/>
  <c r="K460" i="4"/>
  <c r="J460" i="4"/>
  <c r="I460" i="4"/>
  <c r="H460" i="4"/>
  <c r="G460" i="4"/>
  <c r="F460" i="4"/>
  <c r="E460" i="4"/>
  <c r="D460" i="4"/>
  <c r="C460" i="4"/>
  <c r="B460" i="4"/>
  <c r="A460" i="4"/>
  <c r="Q459" i="4"/>
  <c r="P459" i="4"/>
  <c r="O459" i="4"/>
  <c r="N459" i="4"/>
  <c r="L459" i="4"/>
  <c r="K459" i="4"/>
  <c r="J459" i="4"/>
  <c r="I459" i="4"/>
  <c r="H459" i="4"/>
  <c r="G459" i="4"/>
  <c r="F459" i="4"/>
  <c r="E459" i="4"/>
  <c r="D459" i="4"/>
  <c r="C459" i="4"/>
  <c r="B459" i="4"/>
  <c r="A459" i="4"/>
  <c r="Q458" i="4"/>
  <c r="P458" i="4"/>
  <c r="O458" i="4"/>
  <c r="N458" i="4"/>
  <c r="L458" i="4"/>
  <c r="K458" i="4"/>
  <c r="J458" i="4"/>
  <c r="I458" i="4"/>
  <c r="H458" i="4"/>
  <c r="G458" i="4"/>
  <c r="F458" i="4"/>
  <c r="E458" i="4"/>
  <c r="D458" i="4"/>
  <c r="C458" i="4"/>
  <c r="B458" i="4"/>
  <c r="A458" i="4"/>
  <c r="Q457" i="4"/>
  <c r="P457" i="4"/>
  <c r="O457" i="4"/>
  <c r="N457" i="4"/>
  <c r="L457" i="4"/>
  <c r="K457" i="4"/>
  <c r="J457" i="4"/>
  <c r="I457" i="4"/>
  <c r="H457" i="4"/>
  <c r="G457" i="4"/>
  <c r="F457" i="4"/>
  <c r="E457" i="4"/>
  <c r="D457" i="4"/>
  <c r="C457" i="4"/>
  <c r="B457" i="4"/>
  <c r="A457" i="4"/>
  <c r="Q456" i="4"/>
  <c r="P456" i="4"/>
  <c r="O456" i="4"/>
  <c r="N456" i="4"/>
  <c r="L456" i="4"/>
  <c r="K456" i="4"/>
  <c r="J456" i="4"/>
  <c r="I456" i="4"/>
  <c r="H456" i="4"/>
  <c r="G456" i="4"/>
  <c r="F456" i="4"/>
  <c r="E456" i="4"/>
  <c r="D456" i="4"/>
  <c r="C456" i="4"/>
  <c r="B456" i="4"/>
  <c r="A456" i="4"/>
  <c r="Q455" i="4"/>
  <c r="P455" i="4"/>
  <c r="O455" i="4"/>
  <c r="N455" i="4"/>
  <c r="L455" i="4"/>
  <c r="K455" i="4"/>
  <c r="J455" i="4"/>
  <c r="I455" i="4"/>
  <c r="H455" i="4"/>
  <c r="G455" i="4"/>
  <c r="F455" i="4"/>
  <c r="E455" i="4"/>
  <c r="D455" i="4"/>
  <c r="C455" i="4"/>
  <c r="B455" i="4"/>
  <c r="A455" i="4"/>
  <c r="Q454" i="4"/>
  <c r="P454" i="4"/>
  <c r="O454" i="4"/>
  <c r="N454" i="4"/>
  <c r="L454" i="4"/>
  <c r="K454" i="4"/>
  <c r="J454" i="4"/>
  <c r="I454" i="4"/>
  <c r="H454" i="4"/>
  <c r="G454" i="4"/>
  <c r="F454" i="4"/>
  <c r="E454" i="4"/>
  <c r="D454" i="4"/>
  <c r="C454" i="4"/>
  <c r="B454" i="4"/>
  <c r="A454" i="4"/>
  <c r="Q453" i="4"/>
  <c r="P453" i="4"/>
  <c r="O453" i="4"/>
  <c r="N453" i="4"/>
  <c r="L453" i="4"/>
  <c r="K453" i="4"/>
  <c r="J453" i="4"/>
  <c r="I453" i="4"/>
  <c r="H453" i="4"/>
  <c r="G453" i="4"/>
  <c r="F453" i="4"/>
  <c r="E453" i="4"/>
  <c r="D453" i="4"/>
  <c r="C453" i="4"/>
  <c r="B453" i="4"/>
  <c r="A453" i="4"/>
  <c r="Q452" i="4"/>
  <c r="P452" i="4"/>
  <c r="O452" i="4"/>
  <c r="N452" i="4"/>
  <c r="L452" i="4"/>
  <c r="K452" i="4"/>
  <c r="J452" i="4"/>
  <c r="I452" i="4"/>
  <c r="H452" i="4"/>
  <c r="G452" i="4"/>
  <c r="F452" i="4"/>
  <c r="E452" i="4"/>
  <c r="D452" i="4"/>
  <c r="C452" i="4"/>
  <c r="B452" i="4"/>
  <c r="A452" i="4"/>
  <c r="Q451" i="4"/>
  <c r="P451" i="4"/>
  <c r="O451" i="4"/>
  <c r="N451" i="4"/>
  <c r="L451" i="4"/>
  <c r="K451" i="4"/>
  <c r="J451" i="4"/>
  <c r="I451" i="4"/>
  <c r="H451" i="4"/>
  <c r="G451" i="4"/>
  <c r="F451" i="4"/>
  <c r="E451" i="4"/>
  <c r="D451" i="4"/>
  <c r="C451" i="4"/>
  <c r="B451" i="4"/>
  <c r="A451" i="4"/>
  <c r="Q450" i="4"/>
  <c r="P450" i="4"/>
  <c r="O450" i="4"/>
  <c r="N450" i="4"/>
  <c r="L450" i="4"/>
  <c r="K450" i="4"/>
  <c r="J450" i="4"/>
  <c r="I450" i="4"/>
  <c r="H450" i="4"/>
  <c r="G450" i="4"/>
  <c r="F450" i="4"/>
  <c r="E450" i="4"/>
  <c r="D450" i="4"/>
  <c r="C450" i="4"/>
  <c r="B450" i="4"/>
  <c r="A450" i="4"/>
  <c r="Q449" i="4"/>
  <c r="P449" i="4"/>
  <c r="O449" i="4"/>
  <c r="N449" i="4"/>
  <c r="L449" i="4"/>
  <c r="K449" i="4"/>
  <c r="J449" i="4"/>
  <c r="I449" i="4"/>
  <c r="H449" i="4"/>
  <c r="G449" i="4"/>
  <c r="F449" i="4"/>
  <c r="E449" i="4"/>
  <c r="D449" i="4"/>
  <c r="C449" i="4"/>
  <c r="B449" i="4"/>
  <c r="A449" i="4"/>
  <c r="Q448" i="4"/>
  <c r="P448" i="4"/>
  <c r="O448" i="4"/>
  <c r="N448" i="4"/>
  <c r="L448" i="4"/>
  <c r="K448" i="4"/>
  <c r="J448" i="4"/>
  <c r="I448" i="4"/>
  <c r="H448" i="4"/>
  <c r="G448" i="4"/>
  <c r="F448" i="4"/>
  <c r="E448" i="4"/>
  <c r="D448" i="4"/>
  <c r="C448" i="4"/>
  <c r="B448" i="4"/>
  <c r="A448" i="4"/>
  <c r="Q447" i="4"/>
  <c r="P447" i="4"/>
  <c r="O447" i="4"/>
  <c r="N447" i="4"/>
  <c r="L447" i="4"/>
  <c r="K447" i="4"/>
  <c r="J447" i="4"/>
  <c r="I447" i="4"/>
  <c r="H447" i="4"/>
  <c r="G447" i="4"/>
  <c r="F447" i="4"/>
  <c r="E447" i="4"/>
  <c r="D447" i="4"/>
  <c r="C447" i="4"/>
  <c r="B447" i="4"/>
  <c r="A447" i="4"/>
  <c r="Q446" i="4"/>
  <c r="P446" i="4"/>
  <c r="O446" i="4"/>
  <c r="N446" i="4"/>
  <c r="L446" i="4"/>
  <c r="K446" i="4"/>
  <c r="J446" i="4"/>
  <c r="I446" i="4"/>
  <c r="H446" i="4"/>
  <c r="G446" i="4"/>
  <c r="F446" i="4"/>
  <c r="E446" i="4"/>
  <c r="D446" i="4"/>
  <c r="C446" i="4"/>
  <c r="B446" i="4"/>
  <c r="A446" i="4"/>
  <c r="Q445" i="4"/>
  <c r="P445" i="4"/>
  <c r="O445" i="4"/>
  <c r="N445" i="4"/>
  <c r="L445" i="4"/>
  <c r="K445" i="4"/>
  <c r="J445" i="4"/>
  <c r="I445" i="4"/>
  <c r="H445" i="4"/>
  <c r="G445" i="4"/>
  <c r="F445" i="4"/>
  <c r="E445" i="4"/>
  <c r="D445" i="4"/>
  <c r="C445" i="4"/>
  <c r="B445" i="4"/>
  <c r="A445" i="4"/>
  <c r="Q444" i="4"/>
  <c r="P444" i="4"/>
  <c r="O444" i="4"/>
  <c r="N444" i="4"/>
  <c r="L444" i="4"/>
  <c r="K444" i="4"/>
  <c r="J444" i="4"/>
  <c r="I444" i="4"/>
  <c r="H444" i="4"/>
  <c r="G444" i="4"/>
  <c r="F444" i="4"/>
  <c r="E444" i="4"/>
  <c r="D444" i="4"/>
  <c r="C444" i="4"/>
  <c r="B444" i="4"/>
  <c r="A444" i="4"/>
  <c r="Q443" i="4"/>
  <c r="P443" i="4"/>
  <c r="O443" i="4"/>
  <c r="N443" i="4"/>
  <c r="L443" i="4"/>
  <c r="K443" i="4"/>
  <c r="J443" i="4"/>
  <c r="I443" i="4"/>
  <c r="H443" i="4"/>
  <c r="G443" i="4"/>
  <c r="F443" i="4"/>
  <c r="E443" i="4"/>
  <c r="D443" i="4"/>
  <c r="C443" i="4"/>
  <c r="B443" i="4"/>
  <c r="A443" i="4"/>
  <c r="Q442" i="4"/>
  <c r="P442" i="4"/>
  <c r="O442" i="4"/>
  <c r="N442" i="4"/>
  <c r="L442" i="4"/>
  <c r="K442" i="4"/>
  <c r="J442" i="4"/>
  <c r="I442" i="4"/>
  <c r="H442" i="4"/>
  <c r="G442" i="4"/>
  <c r="F442" i="4"/>
  <c r="E442" i="4"/>
  <c r="D442" i="4"/>
  <c r="C442" i="4"/>
  <c r="B442" i="4"/>
  <c r="A442" i="4"/>
  <c r="Q441" i="4"/>
  <c r="P441" i="4"/>
  <c r="O441" i="4"/>
  <c r="N441" i="4"/>
  <c r="L441" i="4"/>
  <c r="K441" i="4"/>
  <c r="J441" i="4"/>
  <c r="I441" i="4"/>
  <c r="H441" i="4"/>
  <c r="G441" i="4"/>
  <c r="F441" i="4"/>
  <c r="E441" i="4"/>
  <c r="D441" i="4"/>
  <c r="C441" i="4"/>
  <c r="B441" i="4"/>
  <c r="A441" i="4"/>
  <c r="Q440" i="4"/>
  <c r="P440" i="4"/>
  <c r="O440" i="4"/>
  <c r="N440" i="4"/>
  <c r="L440" i="4"/>
  <c r="K440" i="4"/>
  <c r="J440" i="4"/>
  <c r="I440" i="4"/>
  <c r="H440" i="4"/>
  <c r="G440" i="4"/>
  <c r="F440" i="4"/>
  <c r="E440" i="4"/>
  <c r="D440" i="4"/>
  <c r="C440" i="4"/>
  <c r="B440" i="4"/>
  <c r="A440" i="4"/>
  <c r="Q439" i="4"/>
  <c r="P439" i="4"/>
  <c r="O439" i="4"/>
  <c r="N439" i="4"/>
  <c r="L439" i="4"/>
  <c r="K439" i="4"/>
  <c r="J439" i="4"/>
  <c r="I439" i="4"/>
  <c r="H439" i="4"/>
  <c r="G439" i="4"/>
  <c r="F439" i="4"/>
  <c r="E439" i="4"/>
  <c r="D439" i="4"/>
  <c r="C439" i="4"/>
  <c r="B439" i="4"/>
  <c r="A439" i="4"/>
  <c r="Q438" i="4"/>
  <c r="P438" i="4"/>
  <c r="O438" i="4"/>
  <c r="N438" i="4"/>
  <c r="L438" i="4"/>
  <c r="K438" i="4"/>
  <c r="J438" i="4"/>
  <c r="I438" i="4"/>
  <c r="H438" i="4"/>
  <c r="G438" i="4"/>
  <c r="F438" i="4"/>
  <c r="E438" i="4"/>
  <c r="D438" i="4"/>
  <c r="C438" i="4"/>
  <c r="B438" i="4"/>
  <c r="A438" i="4"/>
  <c r="Q437" i="4"/>
  <c r="P437" i="4"/>
  <c r="O437" i="4"/>
  <c r="N437" i="4"/>
  <c r="L437" i="4"/>
  <c r="K437" i="4"/>
  <c r="J437" i="4"/>
  <c r="I437" i="4"/>
  <c r="H437" i="4"/>
  <c r="G437" i="4"/>
  <c r="F437" i="4"/>
  <c r="E437" i="4"/>
  <c r="D437" i="4"/>
  <c r="C437" i="4"/>
  <c r="B437" i="4"/>
  <c r="A437" i="4"/>
  <c r="Q436" i="4"/>
  <c r="P436" i="4"/>
  <c r="O436" i="4"/>
  <c r="N436" i="4"/>
  <c r="L436" i="4"/>
  <c r="K436" i="4"/>
  <c r="J436" i="4"/>
  <c r="I436" i="4"/>
  <c r="H436" i="4"/>
  <c r="G436" i="4"/>
  <c r="F436" i="4"/>
  <c r="E436" i="4"/>
  <c r="D436" i="4"/>
  <c r="C436" i="4"/>
  <c r="B436" i="4"/>
  <c r="A436" i="4"/>
  <c r="Q435" i="4"/>
  <c r="P435" i="4"/>
  <c r="O435" i="4"/>
  <c r="N435" i="4"/>
  <c r="L435" i="4"/>
  <c r="K435" i="4"/>
  <c r="J435" i="4"/>
  <c r="I435" i="4"/>
  <c r="H435" i="4"/>
  <c r="G435" i="4"/>
  <c r="F435" i="4"/>
  <c r="E435" i="4"/>
  <c r="D435" i="4"/>
  <c r="C435" i="4"/>
  <c r="B435" i="4"/>
  <c r="A435" i="4"/>
  <c r="Q434" i="4"/>
  <c r="P434" i="4"/>
  <c r="O434" i="4"/>
  <c r="N434" i="4"/>
  <c r="L434" i="4"/>
  <c r="K434" i="4"/>
  <c r="J434" i="4"/>
  <c r="I434" i="4"/>
  <c r="H434" i="4"/>
  <c r="G434" i="4"/>
  <c r="F434" i="4"/>
  <c r="E434" i="4"/>
  <c r="D434" i="4"/>
  <c r="C434" i="4"/>
  <c r="B434" i="4"/>
  <c r="A434" i="4"/>
  <c r="Q433" i="4"/>
  <c r="P433" i="4"/>
  <c r="O433" i="4"/>
  <c r="N433" i="4"/>
  <c r="L433" i="4"/>
  <c r="K433" i="4"/>
  <c r="J433" i="4"/>
  <c r="I433" i="4"/>
  <c r="H433" i="4"/>
  <c r="G433" i="4"/>
  <c r="F433" i="4"/>
  <c r="E433" i="4"/>
  <c r="D433" i="4"/>
  <c r="C433" i="4"/>
  <c r="B433" i="4"/>
  <c r="A433" i="4"/>
  <c r="Q432" i="4"/>
  <c r="P432" i="4"/>
  <c r="O432" i="4"/>
  <c r="N432" i="4"/>
  <c r="L432" i="4"/>
  <c r="K432" i="4"/>
  <c r="J432" i="4"/>
  <c r="I432" i="4"/>
  <c r="H432" i="4"/>
  <c r="G432" i="4"/>
  <c r="F432" i="4"/>
  <c r="E432" i="4"/>
  <c r="D432" i="4"/>
  <c r="C432" i="4"/>
  <c r="B432" i="4"/>
  <c r="A432" i="4"/>
  <c r="Q431" i="4"/>
  <c r="P431" i="4"/>
  <c r="O431" i="4"/>
  <c r="N431" i="4"/>
  <c r="L431" i="4"/>
  <c r="K431" i="4"/>
  <c r="J431" i="4"/>
  <c r="I431" i="4"/>
  <c r="H431" i="4"/>
  <c r="G431" i="4"/>
  <c r="F431" i="4"/>
  <c r="E431" i="4"/>
  <c r="D431" i="4"/>
  <c r="C431" i="4"/>
  <c r="B431" i="4"/>
  <c r="A431" i="4"/>
  <c r="Q430" i="4"/>
  <c r="P430" i="4"/>
  <c r="O430" i="4"/>
  <c r="N430" i="4"/>
  <c r="L430" i="4"/>
  <c r="K430" i="4"/>
  <c r="J430" i="4"/>
  <c r="I430" i="4"/>
  <c r="H430" i="4"/>
  <c r="G430" i="4"/>
  <c r="F430" i="4"/>
  <c r="E430" i="4"/>
  <c r="D430" i="4"/>
  <c r="C430" i="4"/>
  <c r="B430" i="4"/>
  <c r="A430" i="4"/>
  <c r="Q429" i="4"/>
  <c r="P429" i="4"/>
  <c r="O429" i="4"/>
  <c r="N429" i="4"/>
  <c r="L429" i="4"/>
  <c r="K429" i="4"/>
  <c r="J429" i="4"/>
  <c r="I429" i="4"/>
  <c r="H429" i="4"/>
  <c r="G429" i="4"/>
  <c r="F429" i="4"/>
  <c r="E429" i="4"/>
  <c r="D429" i="4"/>
  <c r="C429" i="4"/>
  <c r="B429" i="4"/>
  <c r="A429" i="4"/>
  <c r="Q428" i="4"/>
  <c r="P428" i="4"/>
  <c r="O428" i="4"/>
  <c r="N428" i="4"/>
  <c r="L428" i="4"/>
  <c r="K428" i="4"/>
  <c r="J428" i="4"/>
  <c r="I428" i="4"/>
  <c r="H428" i="4"/>
  <c r="G428" i="4"/>
  <c r="F428" i="4"/>
  <c r="E428" i="4"/>
  <c r="D428" i="4"/>
  <c r="C428" i="4"/>
  <c r="B428" i="4"/>
  <c r="A428" i="4"/>
  <c r="Q427" i="4"/>
  <c r="P427" i="4"/>
  <c r="O427" i="4"/>
  <c r="N427" i="4"/>
  <c r="L427" i="4"/>
  <c r="K427" i="4"/>
  <c r="J427" i="4"/>
  <c r="I427" i="4"/>
  <c r="H427" i="4"/>
  <c r="G427" i="4"/>
  <c r="F427" i="4"/>
  <c r="E427" i="4"/>
  <c r="D427" i="4"/>
  <c r="C427" i="4"/>
  <c r="B427" i="4"/>
  <c r="A427" i="4"/>
  <c r="Q426" i="4"/>
  <c r="P426" i="4"/>
  <c r="O426" i="4"/>
  <c r="N426" i="4"/>
  <c r="L426" i="4"/>
  <c r="K426" i="4"/>
  <c r="J426" i="4"/>
  <c r="I426" i="4"/>
  <c r="H426" i="4"/>
  <c r="G426" i="4"/>
  <c r="F426" i="4"/>
  <c r="E426" i="4"/>
  <c r="D426" i="4"/>
  <c r="C426" i="4"/>
  <c r="B426" i="4"/>
  <c r="A426" i="4"/>
  <c r="Q425" i="4"/>
  <c r="P425" i="4"/>
  <c r="O425" i="4"/>
  <c r="N425" i="4"/>
  <c r="L425" i="4"/>
  <c r="K425" i="4"/>
  <c r="J425" i="4"/>
  <c r="I425" i="4"/>
  <c r="H425" i="4"/>
  <c r="G425" i="4"/>
  <c r="F425" i="4"/>
  <c r="E425" i="4"/>
  <c r="D425" i="4"/>
  <c r="C425" i="4"/>
  <c r="B425" i="4"/>
  <c r="A425" i="4"/>
  <c r="Q424" i="4"/>
  <c r="P424" i="4"/>
  <c r="O424" i="4"/>
  <c r="N424" i="4"/>
  <c r="L424" i="4"/>
  <c r="K424" i="4"/>
  <c r="J424" i="4"/>
  <c r="I424" i="4"/>
  <c r="H424" i="4"/>
  <c r="G424" i="4"/>
  <c r="F424" i="4"/>
  <c r="E424" i="4"/>
  <c r="D424" i="4"/>
  <c r="C424" i="4"/>
  <c r="B424" i="4"/>
  <c r="A424" i="4"/>
  <c r="Q423" i="4"/>
  <c r="P423" i="4"/>
  <c r="O423" i="4"/>
  <c r="N423" i="4"/>
  <c r="L423" i="4"/>
  <c r="K423" i="4"/>
  <c r="J423" i="4"/>
  <c r="I423" i="4"/>
  <c r="H423" i="4"/>
  <c r="G423" i="4"/>
  <c r="F423" i="4"/>
  <c r="E423" i="4"/>
  <c r="D423" i="4"/>
  <c r="C423" i="4"/>
  <c r="B423" i="4"/>
  <c r="A423" i="4"/>
  <c r="Q422" i="4"/>
  <c r="P422" i="4"/>
  <c r="O422" i="4"/>
  <c r="N422" i="4"/>
  <c r="L422" i="4"/>
  <c r="K422" i="4"/>
  <c r="J422" i="4"/>
  <c r="I422" i="4"/>
  <c r="H422" i="4"/>
  <c r="G422" i="4"/>
  <c r="F422" i="4"/>
  <c r="E422" i="4"/>
  <c r="D422" i="4"/>
  <c r="C422" i="4"/>
  <c r="B422" i="4"/>
  <c r="A422" i="4"/>
  <c r="Q421" i="4"/>
  <c r="P421" i="4"/>
  <c r="O421" i="4"/>
  <c r="N421" i="4"/>
  <c r="L421" i="4"/>
  <c r="K421" i="4"/>
  <c r="J421" i="4"/>
  <c r="I421" i="4"/>
  <c r="H421" i="4"/>
  <c r="G421" i="4"/>
  <c r="F421" i="4"/>
  <c r="E421" i="4"/>
  <c r="D421" i="4"/>
  <c r="C421" i="4"/>
  <c r="B421" i="4"/>
  <c r="A421" i="4"/>
  <c r="Q420" i="4"/>
  <c r="P420" i="4"/>
  <c r="O420" i="4"/>
  <c r="N420" i="4"/>
  <c r="L420" i="4"/>
  <c r="K420" i="4"/>
  <c r="J420" i="4"/>
  <c r="I420" i="4"/>
  <c r="H420" i="4"/>
  <c r="G420" i="4"/>
  <c r="F420" i="4"/>
  <c r="E420" i="4"/>
  <c r="D420" i="4"/>
  <c r="C420" i="4"/>
  <c r="B420" i="4"/>
  <c r="A420" i="4"/>
  <c r="Q419" i="4"/>
  <c r="P419" i="4"/>
  <c r="O419" i="4"/>
  <c r="N419" i="4"/>
  <c r="L419" i="4"/>
  <c r="K419" i="4"/>
  <c r="J419" i="4"/>
  <c r="I419" i="4"/>
  <c r="H419" i="4"/>
  <c r="G419" i="4"/>
  <c r="F419" i="4"/>
  <c r="E419" i="4"/>
  <c r="D419" i="4"/>
  <c r="C419" i="4"/>
  <c r="B419" i="4"/>
  <c r="A419" i="4"/>
  <c r="Q418" i="4"/>
  <c r="P418" i="4"/>
  <c r="O418" i="4"/>
  <c r="N418" i="4"/>
  <c r="L418" i="4"/>
  <c r="K418" i="4"/>
  <c r="J418" i="4"/>
  <c r="I418" i="4"/>
  <c r="H418" i="4"/>
  <c r="G418" i="4"/>
  <c r="F418" i="4"/>
  <c r="E418" i="4"/>
  <c r="D418" i="4"/>
  <c r="C418" i="4"/>
  <c r="B418" i="4"/>
  <c r="A418" i="4"/>
  <c r="Q417" i="4"/>
  <c r="P417" i="4"/>
  <c r="O417" i="4"/>
  <c r="N417" i="4"/>
  <c r="L417" i="4"/>
  <c r="K417" i="4"/>
  <c r="J417" i="4"/>
  <c r="I417" i="4"/>
  <c r="H417" i="4"/>
  <c r="G417" i="4"/>
  <c r="F417" i="4"/>
  <c r="E417" i="4"/>
  <c r="D417" i="4"/>
  <c r="C417" i="4"/>
  <c r="B417" i="4"/>
  <c r="A417" i="4"/>
  <c r="Q416" i="4"/>
  <c r="P416" i="4"/>
  <c r="O416" i="4"/>
  <c r="N416" i="4"/>
  <c r="L416" i="4"/>
  <c r="K416" i="4"/>
  <c r="J416" i="4"/>
  <c r="I416" i="4"/>
  <c r="H416" i="4"/>
  <c r="G416" i="4"/>
  <c r="F416" i="4"/>
  <c r="E416" i="4"/>
  <c r="D416" i="4"/>
  <c r="C416" i="4"/>
  <c r="B416" i="4"/>
  <c r="A416" i="4"/>
  <c r="Q415" i="4"/>
  <c r="P415" i="4"/>
  <c r="O415" i="4"/>
  <c r="N415" i="4"/>
  <c r="L415" i="4"/>
  <c r="K415" i="4"/>
  <c r="J415" i="4"/>
  <c r="I415" i="4"/>
  <c r="H415" i="4"/>
  <c r="G415" i="4"/>
  <c r="F415" i="4"/>
  <c r="E415" i="4"/>
  <c r="D415" i="4"/>
  <c r="C415" i="4"/>
  <c r="B415" i="4"/>
  <c r="A415" i="4"/>
  <c r="Q414" i="4"/>
  <c r="P414" i="4"/>
  <c r="O414" i="4"/>
  <c r="N414" i="4"/>
  <c r="L414" i="4"/>
  <c r="K414" i="4"/>
  <c r="J414" i="4"/>
  <c r="I414" i="4"/>
  <c r="H414" i="4"/>
  <c r="G414" i="4"/>
  <c r="F414" i="4"/>
  <c r="E414" i="4"/>
  <c r="D414" i="4"/>
  <c r="C414" i="4"/>
  <c r="B414" i="4"/>
  <c r="A414" i="4"/>
  <c r="Q413" i="4"/>
  <c r="P413" i="4"/>
  <c r="O413" i="4"/>
  <c r="N413" i="4"/>
  <c r="L413" i="4"/>
  <c r="K413" i="4"/>
  <c r="J413" i="4"/>
  <c r="I413" i="4"/>
  <c r="H413" i="4"/>
  <c r="G413" i="4"/>
  <c r="F413" i="4"/>
  <c r="E413" i="4"/>
  <c r="D413" i="4"/>
  <c r="C413" i="4"/>
  <c r="B413" i="4"/>
  <c r="A413" i="4"/>
  <c r="Q412" i="4"/>
  <c r="P412" i="4"/>
  <c r="O412" i="4"/>
  <c r="N412" i="4"/>
  <c r="L412" i="4"/>
  <c r="K412" i="4"/>
  <c r="J412" i="4"/>
  <c r="I412" i="4"/>
  <c r="H412" i="4"/>
  <c r="G412" i="4"/>
  <c r="F412" i="4"/>
  <c r="E412" i="4"/>
  <c r="D412" i="4"/>
  <c r="C412" i="4"/>
  <c r="B412" i="4"/>
  <c r="A412" i="4"/>
  <c r="Q411" i="4"/>
  <c r="P411" i="4"/>
  <c r="O411" i="4"/>
  <c r="N411" i="4"/>
  <c r="L411" i="4"/>
  <c r="K411" i="4"/>
  <c r="J411" i="4"/>
  <c r="I411" i="4"/>
  <c r="H411" i="4"/>
  <c r="G411" i="4"/>
  <c r="F411" i="4"/>
  <c r="E411" i="4"/>
  <c r="D411" i="4"/>
  <c r="C411" i="4"/>
  <c r="B411" i="4"/>
  <c r="A411" i="4"/>
  <c r="Q410" i="4"/>
  <c r="P410" i="4"/>
  <c r="O410" i="4"/>
  <c r="N410" i="4"/>
  <c r="L410" i="4"/>
  <c r="K410" i="4"/>
  <c r="J410" i="4"/>
  <c r="I410" i="4"/>
  <c r="H410" i="4"/>
  <c r="G410" i="4"/>
  <c r="F410" i="4"/>
  <c r="E410" i="4"/>
  <c r="D410" i="4"/>
  <c r="C410" i="4"/>
  <c r="B410" i="4"/>
  <c r="A410" i="4"/>
  <c r="Q409" i="4"/>
  <c r="P409" i="4"/>
  <c r="O409" i="4"/>
  <c r="N409" i="4"/>
  <c r="L409" i="4"/>
  <c r="K409" i="4"/>
  <c r="J409" i="4"/>
  <c r="I409" i="4"/>
  <c r="H409" i="4"/>
  <c r="G409" i="4"/>
  <c r="F409" i="4"/>
  <c r="E409" i="4"/>
  <c r="D409" i="4"/>
  <c r="C409" i="4"/>
  <c r="B409" i="4"/>
  <c r="A409" i="4"/>
  <c r="Q408" i="4"/>
  <c r="P408" i="4"/>
  <c r="O408" i="4"/>
  <c r="N408" i="4"/>
  <c r="L408" i="4"/>
  <c r="K408" i="4"/>
  <c r="J408" i="4"/>
  <c r="I408" i="4"/>
  <c r="H408" i="4"/>
  <c r="G408" i="4"/>
  <c r="F408" i="4"/>
  <c r="E408" i="4"/>
  <c r="D408" i="4"/>
  <c r="C408" i="4"/>
  <c r="B408" i="4"/>
  <c r="A408" i="4"/>
  <c r="Q407" i="4"/>
  <c r="P407" i="4"/>
  <c r="O407" i="4"/>
  <c r="N407" i="4"/>
  <c r="L407" i="4"/>
  <c r="K407" i="4"/>
  <c r="J407" i="4"/>
  <c r="I407" i="4"/>
  <c r="H407" i="4"/>
  <c r="G407" i="4"/>
  <c r="F407" i="4"/>
  <c r="E407" i="4"/>
  <c r="D407" i="4"/>
  <c r="C407" i="4"/>
  <c r="B407" i="4"/>
  <c r="A407" i="4"/>
  <c r="Q406" i="4"/>
  <c r="P406" i="4"/>
  <c r="O406" i="4"/>
  <c r="N406" i="4"/>
  <c r="L406" i="4"/>
  <c r="K406" i="4"/>
  <c r="J406" i="4"/>
  <c r="I406" i="4"/>
  <c r="H406" i="4"/>
  <c r="G406" i="4"/>
  <c r="F406" i="4"/>
  <c r="E406" i="4"/>
  <c r="D406" i="4"/>
  <c r="C406" i="4"/>
  <c r="B406" i="4"/>
  <c r="A406" i="4"/>
  <c r="Q405" i="4"/>
  <c r="P405" i="4"/>
  <c r="O405" i="4"/>
  <c r="N405" i="4"/>
  <c r="L405" i="4"/>
  <c r="K405" i="4"/>
  <c r="J405" i="4"/>
  <c r="I405" i="4"/>
  <c r="H405" i="4"/>
  <c r="G405" i="4"/>
  <c r="F405" i="4"/>
  <c r="E405" i="4"/>
  <c r="D405" i="4"/>
  <c r="C405" i="4"/>
  <c r="B405" i="4"/>
  <c r="A405" i="4"/>
  <c r="Q404" i="4"/>
  <c r="P404" i="4"/>
  <c r="O404" i="4"/>
  <c r="N404" i="4"/>
  <c r="L404" i="4"/>
  <c r="K404" i="4"/>
  <c r="J404" i="4"/>
  <c r="I404" i="4"/>
  <c r="H404" i="4"/>
  <c r="G404" i="4"/>
  <c r="F404" i="4"/>
  <c r="E404" i="4"/>
  <c r="D404" i="4"/>
  <c r="C404" i="4"/>
  <c r="B404" i="4"/>
  <c r="A404" i="4"/>
  <c r="Q403" i="4"/>
  <c r="P403" i="4"/>
  <c r="O403" i="4"/>
  <c r="N403" i="4"/>
  <c r="L403" i="4"/>
  <c r="K403" i="4"/>
  <c r="J403" i="4"/>
  <c r="I403" i="4"/>
  <c r="H403" i="4"/>
  <c r="G403" i="4"/>
  <c r="F403" i="4"/>
  <c r="E403" i="4"/>
  <c r="D403" i="4"/>
  <c r="C403" i="4"/>
  <c r="B403" i="4"/>
  <c r="A403" i="4"/>
  <c r="Q402" i="4"/>
  <c r="P402" i="4"/>
  <c r="O402" i="4"/>
  <c r="N402" i="4"/>
  <c r="L402" i="4"/>
  <c r="K402" i="4"/>
  <c r="J402" i="4"/>
  <c r="I402" i="4"/>
  <c r="H402" i="4"/>
  <c r="G402" i="4"/>
  <c r="F402" i="4"/>
  <c r="E402" i="4"/>
  <c r="D402" i="4"/>
  <c r="C402" i="4"/>
  <c r="B402" i="4"/>
  <c r="A402" i="4"/>
  <c r="Q401" i="4"/>
  <c r="P401" i="4"/>
  <c r="O401" i="4"/>
  <c r="N401" i="4"/>
  <c r="L401" i="4"/>
  <c r="K401" i="4"/>
  <c r="J401" i="4"/>
  <c r="I401" i="4"/>
  <c r="H401" i="4"/>
  <c r="G401" i="4"/>
  <c r="F401" i="4"/>
  <c r="E401" i="4"/>
  <c r="D401" i="4"/>
  <c r="C401" i="4"/>
  <c r="B401" i="4"/>
  <c r="A401" i="4"/>
  <c r="Q400" i="4"/>
  <c r="P400" i="4"/>
  <c r="O400" i="4"/>
  <c r="N400" i="4"/>
  <c r="L400" i="4"/>
  <c r="K400" i="4"/>
  <c r="J400" i="4"/>
  <c r="I400" i="4"/>
  <c r="H400" i="4"/>
  <c r="G400" i="4"/>
  <c r="F400" i="4"/>
  <c r="E400" i="4"/>
  <c r="D400" i="4"/>
  <c r="C400" i="4"/>
  <c r="B400" i="4"/>
  <c r="A400" i="4"/>
  <c r="Q399" i="4"/>
  <c r="P399" i="4"/>
  <c r="O399" i="4"/>
  <c r="N399" i="4"/>
  <c r="L399" i="4"/>
  <c r="K399" i="4"/>
  <c r="J399" i="4"/>
  <c r="I399" i="4"/>
  <c r="H399" i="4"/>
  <c r="G399" i="4"/>
  <c r="F399" i="4"/>
  <c r="E399" i="4"/>
  <c r="D399" i="4"/>
  <c r="C399" i="4"/>
  <c r="B399" i="4"/>
  <c r="A399" i="4"/>
  <c r="Q398" i="4"/>
  <c r="P398" i="4"/>
  <c r="O398" i="4"/>
  <c r="N398" i="4"/>
  <c r="L398" i="4"/>
  <c r="K398" i="4"/>
  <c r="J398" i="4"/>
  <c r="I398" i="4"/>
  <c r="H398" i="4"/>
  <c r="G398" i="4"/>
  <c r="F398" i="4"/>
  <c r="E398" i="4"/>
  <c r="D398" i="4"/>
  <c r="C398" i="4"/>
  <c r="B398" i="4"/>
  <c r="A398" i="4"/>
  <c r="Q397" i="4"/>
  <c r="P397" i="4"/>
  <c r="O397" i="4"/>
  <c r="N397" i="4"/>
  <c r="L397" i="4"/>
  <c r="K397" i="4"/>
  <c r="J397" i="4"/>
  <c r="I397" i="4"/>
  <c r="H397" i="4"/>
  <c r="G397" i="4"/>
  <c r="F397" i="4"/>
  <c r="E397" i="4"/>
  <c r="D397" i="4"/>
  <c r="C397" i="4"/>
  <c r="B397" i="4"/>
  <c r="A397" i="4"/>
  <c r="Q396" i="4"/>
  <c r="P396" i="4"/>
  <c r="O396" i="4"/>
  <c r="N396" i="4"/>
  <c r="L396" i="4"/>
  <c r="K396" i="4"/>
  <c r="J396" i="4"/>
  <c r="I396" i="4"/>
  <c r="H396" i="4"/>
  <c r="G396" i="4"/>
  <c r="F396" i="4"/>
  <c r="E396" i="4"/>
  <c r="D396" i="4"/>
  <c r="C396" i="4"/>
  <c r="B396" i="4"/>
  <c r="A396" i="4"/>
  <c r="Q395" i="4"/>
  <c r="P395" i="4"/>
  <c r="O395" i="4"/>
  <c r="N395" i="4"/>
  <c r="L395" i="4"/>
  <c r="K395" i="4"/>
  <c r="J395" i="4"/>
  <c r="I395" i="4"/>
  <c r="H395" i="4"/>
  <c r="G395" i="4"/>
  <c r="F395" i="4"/>
  <c r="E395" i="4"/>
  <c r="D395" i="4"/>
  <c r="C395" i="4"/>
  <c r="B395" i="4"/>
  <c r="A395" i="4"/>
  <c r="Q394" i="4"/>
  <c r="P394" i="4"/>
  <c r="O394" i="4"/>
  <c r="N394" i="4"/>
  <c r="L394" i="4"/>
  <c r="K394" i="4"/>
  <c r="J394" i="4"/>
  <c r="I394" i="4"/>
  <c r="H394" i="4"/>
  <c r="G394" i="4"/>
  <c r="F394" i="4"/>
  <c r="E394" i="4"/>
  <c r="D394" i="4"/>
  <c r="C394" i="4"/>
  <c r="B394" i="4"/>
  <c r="A394" i="4"/>
  <c r="Q393" i="4"/>
  <c r="P393" i="4"/>
  <c r="O393" i="4"/>
  <c r="N393" i="4"/>
  <c r="L393" i="4"/>
  <c r="K393" i="4"/>
  <c r="J393" i="4"/>
  <c r="I393" i="4"/>
  <c r="H393" i="4"/>
  <c r="G393" i="4"/>
  <c r="F393" i="4"/>
  <c r="E393" i="4"/>
  <c r="D393" i="4"/>
  <c r="C393" i="4"/>
  <c r="B393" i="4"/>
  <c r="A393" i="4"/>
  <c r="Q392" i="4"/>
  <c r="P392" i="4"/>
  <c r="O392" i="4"/>
  <c r="N392" i="4"/>
  <c r="L392" i="4"/>
  <c r="K392" i="4"/>
  <c r="J392" i="4"/>
  <c r="I392" i="4"/>
  <c r="H392" i="4"/>
  <c r="G392" i="4"/>
  <c r="F392" i="4"/>
  <c r="E392" i="4"/>
  <c r="D392" i="4"/>
  <c r="C392" i="4"/>
  <c r="B392" i="4"/>
  <c r="A392" i="4"/>
  <c r="Q391" i="4"/>
  <c r="P391" i="4"/>
  <c r="O391" i="4"/>
  <c r="N391" i="4"/>
  <c r="L391" i="4"/>
  <c r="K391" i="4"/>
  <c r="J391" i="4"/>
  <c r="I391" i="4"/>
  <c r="H391" i="4"/>
  <c r="G391" i="4"/>
  <c r="F391" i="4"/>
  <c r="E391" i="4"/>
  <c r="D391" i="4"/>
  <c r="C391" i="4"/>
  <c r="B391" i="4"/>
  <c r="A391" i="4"/>
  <c r="Q390" i="4"/>
  <c r="P390" i="4"/>
  <c r="O390" i="4"/>
  <c r="N390" i="4"/>
  <c r="L390" i="4"/>
  <c r="K390" i="4"/>
  <c r="J390" i="4"/>
  <c r="I390" i="4"/>
  <c r="H390" i="4"/>
  <c r="G390" i="4"/>
  <c r="F390" i="4"/>
  <c r="E390" i="4"/>
  <c r="D390" i="4"/>
  <c r="C390" i="4"/>
  <c r="B390" i="4"/>
  <c r="A390" i="4"/>
  <c r="Q389" i="4"/>
  <c r="P389" i="4"/>
  <c r="O389" i="4"/>
  <c r="N389" i="4"/>
  <c r="L389" i="4"/>
  <c r="K389" i="4"/>
  <c r="J389" i="4"/>
  <c r="I389" i="4"/>
  <c r="H389" i="4"/>
  <c r="G389" i="4"/>
  <c r="F389" i="4"/>
  <c r="E389" i="4"/>
  <c r="D389" i="4"/>
  <c r="C389" i="4"/>
  <c r="B389" i="4"/>
  <c r="A389" i="4"/>
  <c r="Q388" i="4"/>
  <c r="P388" i="4"/>
  <c r="O388" i="4"/>
  <c r="N388" i="4"/>
  <c r="L388" i="4"/>
  <c r="K388" i="4"/>
  <c r="J388" i="4"/>
  <c r="I388" i="4"/>
  <c r="H388" i="4"/>
  <c r="G388" i="4"/>
  <c r="F388" i="4"/>
  <c r="E388" i="4"/>
  <c r="D388" i="4"/>
  <c r="C388" i="4"/>
  <c r="B388" i="4"/>
  <c r="A388" i="4"/>
  <c r="Q387" i="4"/>
  <c r="P387" i="4"/>
  <c r="O387" i="4"/>
  <c r="N387" i="4"/>
  <c r="L387" i="4"/>
  <c r="K387" i="4"/>
  <c r="J387" i="4"/>
  <c r="I387" i="4"/>
  <c r="H387" i="4"/>
  <c r="G387" i="4"/>
  <c r="F387" i="4"/>
  <c r="E387" i="4"/>
  <c r="D387" i="4"/>
  <c r="C387" i="4"/>
  <c r="B387" i="4"/>
  <c r="A387" i="4"/>
  <c r="Q386" i="4"/>
  <c r="P386" i="4"/>
  <c r="O386" i="4"/>
  <c r="N386" i="4"/>
  <c r="L386" i="4"/>
  <c r="K386" i="4"/>
  <c r="J386" i="4"/>
  <c r="I386" i="4"/>
  <c r="H386" i="4"/>
  <c r="G386" i="4"/>
  <c r="F386" i="4"/>
  <c r="E386" i="4"/>
  <c r="D386" i="4"/>
  <c r="C386" i="4"/>
  <c r="B386" i="4"/>
  <c r="A386" i="4"/>
  <c r="Q385" i="4"/>
  <c r="P385" i="4"/>
  <c r="O385" i="4"/>
  <c r="N385" i="4"/>
  <c r="L385" i="4"/>
  <c r="K385" i="4"/>
  <c r="J385" i="4"/>
  <c r="I385" i="4"/>
  <c r="H385" i="4"/>
  <c r="G385" i="4"/>
  <c r="F385" i="4"/>
  <c r="E385" i="4"/>
  <c r="D385" i="4"/>
  <c r="C385" i="4"/>
  <c r="B385" i="4"/>
  <c r="A385" i="4"/>
  <c r="Q384" i="4"/>
  <c r="P384" i="4"/>
  <c r="O384" i="4"/>
  <c r="N384" i="4"/>
  <c r="L384" i="4"/>
  <c r="K384" i="4"/>
  <c r="J384" i="4"/>
  <c r="I384" i="4"/>
  <c r="H384" i="4"/>
  <c r="G384" i="4"/>
  <c r="F384" i="4"/>
  <c r="E384" i="4"/>
  <c r="D384" i="4"/>
  <c r="C384" i="4"/>
  <c r="B384" i="4"/>
  <c r="A384" i="4"/>
  <c r="Q383" i="4"/>
  <c r="P383" i="4"/>
  <c r="O383" i="4"/>
  <c r="N383" i="4"/>
  <c r="L383" i="4"/>
  <c r="K383" i="4"/>
  <c r="J383" i="4"/>
  <c r="I383" i="4"/>
  <c r="H383" i="4"/>
  <c r="G383" i="4"/>
  <c r="F383" i="4"/>
  <c r="E383" i="4"/>
  <c r="D383" i="4"/>
  <c r="C383" i="4"/>
  <c r="B383" i="4"/>
  <c r="A383" i="4"/>
  <c r="Q382" i="4"/>
  <c r="P382" i="4"/>
  <c r="O382" i="4"/>
  <c r="N382" i="4"/>
  <c r="L382" i="4"/>
  <c r="K382" i="4"/>
  <c r="J382" i="4"/>
  <c r="I382" i="4"/>
  <c r="H382" i="4"/>
  <c r="G382" i="4"/>
  <c r="F382" i="4"/>
  <c r="E382" i="4"/>
  <c r="D382" i="4"/>
  <c r="C382" i="4"/>
  <c r="B382" i="4"/>
  <c r="A382" i="4"/>
  <c r="Q381" i="4"/>
  <c r="P381" i="4"/>
  <c r="O381" i="4"/>
  <c r="N381" i="4"/>
  <c r="L381" i="4"/>
  <c r="K381" i="4"/>
  <c r="J381" i="4"/>
  <c r="I381" i="4"/>
  <c r="H381" i="4"/>
  <c r="G381" i="4"/>
  <c r="F381" i="4"/>
  <c r="E381" i="4"/>
  <c r="D381" i="4"/>
  <c r="C381" i="4"/>
  <c r="B381" i="4"/>
  <c r="A381" i="4"/>
  <c r="Q380" i="4"/>
  <c r="P380" i="4"/>
  <c r="O380" i="4"/>
  <c r="N380" i="4"/>
  <c r="L380" i="4"/>
  <c r="K380" i="4"/>
  <c r="J380" i="4"/>
  <c r="I380" i="4"/>
  <c r="H380" i="4"/>
  <c r="G380" i="4"/>
  <c r="F380" i="4"/>
  <c r="E380" i="4"/>
  <c r="D380" i="4"/>
  <c r="C380" i="4"/>
  <c r="B380" i="4"/>
  <c r="A380" i="4"/>
  <c r="Q379" i="4"/>
  <c r="P379" i="4"/>
  <c r="O379" i="4"/>
  <c r="N379" i="4"/>
  <c r="L379" i="4"/>
  <c r="K379" i="4"/>
  <c r="J379" i="4"/>
  <c r="I379" i="4"/>
  <c r="H379" i="4"/>
  <c r="G379" i="4"/>
  <c r="F379" i="4"/>
  <c r="E379" i="4"/>
  <c r="D379" i="4"/>
  <c r="C379" i="4"/>
  <c r="B379" i="4"/>
  <c r="A379" i="4"/>
  <c r="Q378" i="4"/>
  <c r="P378" i="4"/>
  <c r="O378" i="4"/>
  <c r="N378" i="4"/>
  <c r="L378" i="4"/>
  <c r="K378" i="4"/>
  <c r="J378" i="4"/>
  <c r="I378" i="4"/>
  <c r="H378" i="4"/>
  <c r="G378" i="4"/>
  <c r="F378" i="4"/>
  <c r="E378" i="4"/>
  <c r="D378" i="4"/>
  <c r="C378" i="4"/>
  <c r="B378" i="4"/>
  <c r="A378" i="4"/>
  <c r="Q377" i="4"/>
  <c r="P377" i="4"/>
  <c r="O377" i="4"/>
  <c r="N377" i="4"/>
  <c r="L377" i="4"/>
  <c r="K377" i="4"/>
  <c r="J377" i="4"/>
  <c r="I377" i="4"/>
  <c r="H377" i="4"/>
  <c r="G377" i="4"/>
  <c r="F377" i="4"/>
  <c r="E377" i="4"/>
  <c r="D377" i="4"/>
  <c r="C377" i="4"/>
  <c r="B377" i="4"/>
  <c r="A377" i="4"/>
  <c r="Q376" i="4"/>
  <c r="P376" i="4"/>
  <c r="O376" i="4"/>
  <c r="N376" i="4"/>
  <c r="L376" i="4"/>
  <c r="K376" i="4"/>
  <c r="J376" i="4"/>
  <c r="I376" i="4"/>
  <c r="H376" i="4"/>
  <c r="G376" i="4"/>
  <c r="F376" i="4"/>
  <c r="E376" i="4"/>
  <c r="D376" i="4"/>
  <c r="C376" i="4"/>
  <c r="B376" i="4"/>
  <c r="A376" i="4"/>
  <c r="Q375" i="4"/>
  <c r="P375" i="4"/>
  <c r="O375" i="4"/>
  <c r="N375" i="4"/>
  <c r="L375" i="4"/>
  <c r="K375" i="4"/>
  <c r="J375" i="4"/>
  <c r="I375" i="4"/>
  <c r="H375" i="4"/>
  <c r="G375" i="4"/>
  <c r="F375" i="4"/>
  <c r="E375" i="4"/>
  <c r="D375" i="4"/>
  <c r="C375" i="4"/>
  <c r="B375" i="4"/>
  <c r="A375" i="4"/>
  <c r="Q374" i="4"/>
  <c r="P374" i="4"/>
  <c r="O374" i="4"/>
  <c r="N374" i="4"/>
  <c r="L374" i="4"/>
  <c r="K374" i="4"/>
  <c r="J374" i="4"/>
  <c r="I374" i="4"/>
  <c r="H374" i="4"/>
  <c r="G374" i="4"/>
  <c r="F374" i="4"/>
  <c r="E374" i="4"/>
  <c r="D374" i="4"/>
  <c r="C374" i="4"/>
  <c r="B374" i="4"/>
  <c r="A374" i="4"/>
  <c r="Q373" i="4"/>
  <c r="P373" i="4"/>
  <c r="O373" i="4"/>
  <c r="N373" i="4"/>
  <c r="L373" i="4"/>
  <c r="K373" i="4"/>
  <c r="J373" i="4"/>
  <c r="I373" i="4"/>
  <c r="H373" i="4"/>
  <c r="G373" i="4"/>
  <c r="F373" i="4"/>
  <c r="E373" i="4"/>
  <c r="D373" i="4"/>
  <c r="C373" i="4"/>
  <c r="B373" i="4"/>
  <c r="A373" i="4"/>
  <c r="Q372" i="4"/>
  <c r="P372" i="4"/>
  <c r="O372" i="4"/>
  <c r="N372" i="4"/>
  <c r="L372" i="4"/>
  <c r="K372" i="4"/>
  <c r="J372" i="4"/>
  <c r="I372" i="4"/>
  <c r="H372" i="4"/>
  <c r="G372" i="4"/>
  <c r="F372" i="4"/>
  <c r="E372" i="4"/>
  <c r="D372" i="4"/>
  <c r="C372" i="4"/>
  <c r="B372" i="4"/>
  <c r="A372" i="4"/>
  <c r="Q371" i="4"/>
  <c r="P371" i="4"/>
  <c r="O371" i="4"/>
  <c r="N371" i="4"/>
  <c r="L371" i="4"/>
  <c r="K371" i="4"/>
  <c r="J371" i="4"/>
  <c r="I371" i="4"/>
  <c r="H371" i="4"/>
  <c r="G371" i="4"/>
  <c r="F371" i="4"/>
  <c r="E371" i="4"/>
  <c r="D371" i="4"/>
  <c r="C371" i="4"/>
  <c r="B371" i="4"/>
  <c r="A371" i="4"/>
  <c r="Q370" i="4"/>
  <c r="P370" i="4"/>
  <c r="O370" i="4"/>
  <c r="N370" i="4"/>
  <c r="L370" i="4"/>
  <c r="K370" i="4"/>
  <c r="J370" i="4"/>
  <c r="I370" i="4"/>
  <c r="H370" i="4"/>
  <c r="G370" i="4"/>
  <c r="F370" i="4"/>
  <c r="E370" i="4"/>
  <c r="D370" i="4"/>
  <c r="C370" i="4"/>
  <c r="B370" i="4"/>
  <c r="A370" i="4"/>
  <c r="Q369" i="4"/>
  <c r="P369" i="4"/>
  <c r="O369" i="4"/>
  <c r="N369" i="4"/>
  <c r="L369" i="4"/>
  <c r="K369" i="4"/>
  <c r="J369" i="4"/>
  <c r="I369" i="4"/>
  <c r="H369" i="4"/>
  <c r="G369" i="4"/>
  <c r="F369" i="4"/>
  <c r="E369" i="4"/>
  <c r="D369" i="4"/>
  <c r="C369" i="4"/>
  <c r="B369" i="4"/>
  <c r="A369" i="4"/>
  <c r="Q368" i="4"/>
  <c r="P368" i="4"/>
  <c r="O368" i="4"/>
  <c r="N368" i="4"/>
  <c r="L368" i="4"/>
  <c r="K368" i="4"/>
  <c r="J368" i="4"/>
  <c r="I368" i="4"/>
  <c r="H368" i="4"/>
  <c r="G368" i="4"/>
  <c r="F368" i="4"/>
  <c r="E368" i="4"/>
  <c r="D368" i="4"/>
  <c r="C368" i="4"/>
  <c r="B368" i="4"/>
  <c r="A368" i="4"/>
  <c r="Q367" i="4"/>
  <c r="P367" i="4"/>
  <c r="O367" i="4"/>
  <c r="N367" i="4"/>
  <c r="L367" i="4"/>
  <c r="K367" i="4"/>
  <c r="J367" i="4"/>
  <c r="I367" i="4"/>
  <c r="H367" i="4"/>
  <c r="G367" i="4"/>
  <c r="F367" i="4"/>
  <c r="E367" i="4"/>
  <c r="D367" i="4"/>
  <c r="C367" i="4"/>
  <c r="B367" i="4"/>
  <c r="A367" i="4"/>
  <c r="Q366" i="4"/>
  <c r="P366" i="4"/>
  <c r="O366" i="4"/>
  <c r="N366" i="4"/>
  <c r="L366" i="4"/>
  <c r="K366" i="4"/>
  <c r="J366" i="4"/>
  <c r="I366" i="4"/>
  <c r="H366" i="4"/>
  <c r="G366" i="4"/>
  <c r="F366" i="4"/>
  <c r="E366" i="4"/>
  <c r="D366" i="4"/>
  <c r="C366" i="4"/>
  <c r="B366" i="4"/>
  <c r="A366" i="4"/>
  <c r="Q365" i="4"/>
  <c r="P365" i="4"/>
  <c r="O365" i="4"/>
  <c r="N365" i="4"/>
  <c r="L365" i="4"/>
  <c r="K365" i="4"/>
  <c r="J365" i="4"/>
  <c r="I365" i="4"/>
  <c r="H365" i="4"/>
  <c r="G365" i="4"/>
  <c r="F365" i="4"/>
  <c r="E365" i="4"/>
  <c r="D365" i="4"/>
  <c r="C365" i="4"/>
  <c r="B365" i="4"/>
  <c r="A365" i="4"/>
  <c r="Q364" i="4"/>
  <c r="P364" i="4"/>
  <c r="O364" i="4"/>
  <c r="N364" i="4"/>
  <c r="L364" i="4"/>
  <c r="K364" i="4"/>
  <c r="J364" i="4"/>
  <c r="I364" i="4"/>
  <c r="H364" i="4"/>
  <c r="G364" i="4"/>
  <c r="F364" i="4"/>
  <c r="E364" i="4"/>
  <c r="D364" i="4"/>
  <c r="C364" i="4"/>
  <c r="B364" i="4"/>
  <c r="A364" i="4"/>
  <c r="Q363" i="4"/>
  <c r="P363" i="4"/>
  <c r="O363" i="4"/>
  <c r="N363" i="4"/>
  <c r="L363" i="4"/>
  <c r="K363" i="4"/>
  <c r="J363" i="4"/>
  <c r="I363" i="4"/>
  <c r="H363" i="4"/>
  <c r="G363" i="4"/>
  <c r="F363" i="4"/>
  <c r="E363" i="4"/>
  <c r="D363" i="4"/>
  <c r="C363" i="4"/>
  <c r="B363" i="4"/>
  <c r="A363" i="4"/>
  <c r="Q362" i="4"/>
  <c r="P362" i="4"/>
  <c r="O362" i="4"/>
  <c r="N362" i="4"/>
  <c r="L362" i="4"/>
  <c r="K362" i="4"/>
  <c r="J362" i="4"/>
  <c r="I362" i="4"/>
  <c r="H362" i="4"/>
  <c r="G362" i="4"/>
  <c r="F362" i="4"/>
  <c r="E362" i="4"/>
  <c r="D362" i="4"/>
  <c r="C362" i="4"/>
  <c r="B362" i="4"/>
  <c r="A362" i="4"/>
  <c r="Q361" i="4"/>
  <c r="P361" i="4"/>
  <c r="O361" i="4"/>
  <c r="N361" i="4"/>
  <c r="L361" i="4"/>
  <c r="K361" i="4"/>
  <c r="J361" i="4"/>
  <c r="I361" i="4"/>
  <c r="H361" i="4"/>
  <c r="G361" i="4"/>
  <c r="F361" i="4"/>
  <c r="E361" i="4"/>
  <c r="D361" i="4"/>
  <c r="C361" i="4"/>
  <c r="B361" i="4"/>
  <c r="A361" i="4"/>
  <c r="Q360" i="4"/>
  <c r="P360" i="4"/>
  <c r="O360" i="4"/>
  <c r="N360" i="4"/>
  <c r="L360" i="4"/>
  <c r="K360" i="4"/>
  <c r="J360" i="4"/>
  <c r="I360" i="4"/>
  <c r="H360" i="4"/>
  <c r="G360" i="4"/>
  <c r="F360" i="4"/>
  <c r="E360" i="4"/>
  <c r="D360" i="4"/>
  <c r="C360" i="4"/>
  <c r="B360" i="4"/>
  <c r="A360" i="4"/>
  <c r="Q359" i="4"/>
  <c r="P359" i="4"/>
  <c r="O359" i="4"/>
  <c r="N359" i="4"/>
  <c r="L359" i="4"/>
  <c r="K359" i="4"/>
  <c r="J359" i="4"/>
  <c r="I359" i="4"/>
  <c r="H359" i="4"/>
  <c r="G359" i="4"/>
  <c r="F359" i="4"/>
  <c r="E359" i="4"/>
  <c r="D359" i="4"/>
  <c r="C359" i="4"/>
  <c r="B359" i="4"/>
  <c r="A359" i="4"/>
  <c r="Q358" i="4"/>
  <c r="P358" i="4"/>
  <c r="O358" i="4"/>
  <c r="N358" i="4"/>
  <c r="L358" i="4"/>
  <c r="K358" i="4"/>
  <c r="J358" i="4"/>
  <c r="I358" i="4"/>
  <c r="H358" i="4"/>
  <c r="G358" i="4"/>
  <c r="F358" i="4"/>
  <c r="E358" i="4"/>
  <c r="D358" i="4"/>
  <c r="C358" i="4"/>
  <c r="B358" i="4"/>
  <c r="A358" i="4"/>
  <c r="Q357" i="4"/>
  <c r="P357" i="4"/>
  <c r="O357" i="4"/>
  <c r="N357" i="4"/>
  <c r="L357" i="4"/>
  <c r="K357" i="4"/>
  <c r="J357" i="4"/>
  <c r="I357" i="4"/>
  <c r="H357" i="4"/>
  <c r="G357" i="4"/>
  <c r="F357" i="4"/>
  <c r="E357" i="4"/>
  <c r="D357" i="4"/>
  <c r="C357" i="4"/>
  <c r="B357" i="4"/>
  <c r="A357" i="4"/>
  <c r="Q356" i="4"/>
  <c r="P356" i="4"/>
  <c r="O356" i="4"/>
  <c r="N356" i="4"/>
  <c r="L356" i="4"/>
  <c r="K356" i="4"/>
  <c r="J356" i="4"/>
  <c r="I356" i="4"/>
  <c r="H356" i="4"/>
  <c r="G356" i="4"/>
  <c r="F356" i="4"/>
  <c r="E356" i="4"/>
  <c r="D356" i="4"/>
  <c r="C356" i="4"/>
  <c r="B356" i="4"/>
  <c r="A356" i="4"/>
  <c r="Q355" i="4"/>
  <c r="P355" i="4"/>
  <c r="O355" i="4"/>
  <c r="N355" i="4"/>
  <c r="L355" i="4"/>
  <c r="K355" i="4"/>
  <c r="J355" i="4"/>
  <c r="I355" i="4"/>
  <c r="H355" i="4"/>
  <c r="G355" i="4"/>
  <c r="F355" i="4"/>
  <c r="E355" i="4"/>
  <c r="D355" i="4"/>
  <c r="C355" i="4"/>
  <c r="B355" i="4"/>
  <c r="A355" i="4"/>
  <c r="Q354" i="4"/>
  <c r="P354" i="4"/>
  <c r="O354" i="4"/>
  <c r="N354" i="4"/>
  <c r="L354" i="4"/>
  <c r="K354" i="4"/>
  <c r="J354" i="4"/>
  <c r="I354" i="4"/>
  <c r="H354" i="4"/>
  <c r="G354" i="4"/>
  <c r="F354" i="4"/>
  <c r="E354" i="4"/>
  <c r="D354" i="4"/>
  <c r="C354" i="4"/>
  <c r="B354" i="4"/>
  <c r="A354" i="4"/>
  <c r="Q353" i="4"/>
  <c r="P353" i="4"/>
  <c r="O353" i="4"/>
  <c r="N353" i="4"/>
  <c r="L353" i="4"/>
  <c r="K353" i="4"/>
  <c r="J353" i="4"/>
  <c r="I353" i="4"/>
  <c r="H353" i="4"/>
  <c r="G353" i="4"/>
  <c r="F353" i="4"/>
  <c r="E353" i="4"/>
  <c r="D353" i="4"/>
  <c r="C353" i="4"/>
  <c r="B353" i="4"/>
  <c r="A353" i="4"/>
  <c r="Q352" i="4"/>
  <c r="P352" i="4"/>
  <c r="O352" i="4"/>
  <c r="N352" i="4"/>
  <c r="L352" i="4"/>
  <c r="K352" i="4"/>
  <c r="J352" i="4"/>
  <c r="I352" i="4"/>
  <c r="H352" i="4"/>
  <c r="G352" i="4"/>
  <c r="F352" i="4"/>
  <c r="E352" i="4"/>
  <c r="D352" i="4"/>
  <c r="C352" i="4"/>
  <c r="B352" i="4"/>
  <c r="A352" i="4"/>
  <c r="Q351" i="4"/>
  <c r="P351" i="4"/>
  <c r="O351" i="4"/>
  <c r="N351" i="4"/>
  <c r="L351" i="4"/>
  <c r="K351" i="4"/>
  <c r="J351" i="4"/>
  <c r="I351" i="4"/>
  <c r="H351" i="4"/>
  <c r="G351" i="4"/>
  <c r="F351" i="4"/>
  <c r="E351" i="4"/>
  <c r="D351" i="4"/>
  <c r="C351" i="4"/>
  <c r="B351" i="4"/>
  <c r="A351" i="4"/>
  <c r="Q350" i="4"/>
  <c r="P350" i="4"/>
  <c r="O350" i="4"/>
  <c r="N350" i="4"/>
  <c r="L350" i="4"/>
  <c r="K350" i="4"/>
  <c r="J350" i="4"/>
  <c r="I350" i="4"/>
  <c r="H350" i="4"/>
  <c r="G350" i="4"/>
  <c r="F350" i="4"/>
  <c r="E350" i="4"/>
  <c r="D350" i="4"/>
  <c r="C350" i="4"/>
  <c r="B350" i="4"/>
  <c r="A350" i="4"/>
  <c r="Q349" i="4"/>
  <c r="P349" i="4"/>
  <c r="O349" i="4"/>
  <c r="N349" i="4"/>
  <c r="L349" i="4"/>
  <c r="K349" i="4"/>
  <c r="J349" i="4"/>
  <c r="I349" i="4"/>
  <c r="H349" i="4"/>
  <c r="G349" i="4"/>
  <c r="F349" i="4"/>
  <c r="E349" i="4"/>
  <c r="D349" i="4"/>
  <c r="C349" i="4"/>
  <c r="B349" i="4"/>
  <c r="A349" i="4"/>
  <c r="Q348" i="4"/>
  <c r="P348" i="4"/>
  <c r="O348" i="4"/>
  <c r="N348" i="4"/>
  <c r="L348" i="4"/>
  <c r="K348" i="4"/>
  <c r="J348" i="4"/>
  <c r="I348" i="4"/>
  <c r="H348" i="4"/>
  <c r="G348" i="4"/>
  <c r="F348" i="4"/>
  <c r="E348" i="4"/>
  <c r="D348" i="4"/>
  <c r="C348" i="4"/>
  <c r="B348" i="4"/>
  <c r="A348" i="4"/>
  <c r="Q347" i="4"/>
  <c r="P347" i="4"/>
  <c r="O347" i="4"/>
  <c r="N347" i="4"/>
  <c r="L347" i="4"/>
  <c r="K347" i="4"/>
  <c r="J347" i="4"/>
  <c r="I347" i="4"/>
  <c r="H347" i="4"/>
  <c r="G347" i="4"/>
  <c r="F347" i="4"/>
  <c r="E347" i="4"/>
  <c r="D347" i="4"/>
  <c r="C347" i="4"/>
  <c r="B347" i="4"/>
  <c r="A347" i="4"/>
  <c r="Q346" i="4"/>
  <c r="P346" i="4"/>
  <c r="O346" i="4"/>
  <c r="N346" i="4"/>
  <c r="L346" i="4"/>
  <c r="K346" i="4"/>
  <c r="J346" i="4"/>
  <c r="I346" i="4"/>
  <c r="H346" i="4"/>
  <c r="G346" i="4"/>
  <c r="F346" i="4"/>
  <c r="E346" i="4"/>
  <c r="D346" i="4"/>
  <c r="C346" i="4"/>
  <c r="B346" i="4"/>
  <c r="A346" i="4"/>
  <c r="Q345" i="4"/>
  <c r="P345" i="4"/>
  <c r="O345" i="4"/>
  <c r="N345" i="4"/>
  <c r="L345" i="4"/>
  <c r="K345" i="4"/>
  <c r="J345" i="4"/>
  <c r="I345" i="4"/>
  <c r="H345" i="4"/>
  <c r="G345" i="4"/>
  <c r="F345" i="4"/>
  <c r="E345" i="4"/>
  <c r="D345" i="4"/>
  <c r="C345" i="4"/>
  <c r="B345" i="4"/>
  <c r="A345" i="4"/>
  <c r="Q344" i="4"/>
  <c r="P344" i="4"/>
  <c r="O344" i="4"/>
  <c r="N344" i="4"/>
  <c r="L344" i="4"/>
  <c r="K344" i="4"/>
  <c r="J344" i="4"/>
  <c r="I344" i="4"/>
  <c r="H344" i="4"/>
  <c r="G344" i="4"/>
  <c r="F344" i="4"/>
  <c r="E344" i="4"/>
  <c r="D344" i="4"/>
  <c r="C344" i="4"/>
  <c r="B344" i="4"/>
  <c r="A344" i="4"/>
  <c r="Q343" i="4"/>
  <c r="P343" i="4"/>
  <c r="O343" i="4"/>
  <c r="N343" i="4"/>
  <c r="L343" i="4"/>
  <c r="K343" i="4"/>
  <c r="J343" i="4"/>
  <c r="I343" i="4"/>
  <c r="H343" i="4"/>
  <c r="G343" i="4"/>
  <c r="F343" i="4"/>
  <c r="E343" i="4"/>
  <c r="D343" i="4"/>
  <c r="C343" i="4"/>
  <c r="B343" i="4"/>
  <c r="A343" i="4"/>
  <c r="Q342" i="4"/>
  <c r="P342" i="4"/>
  <c r="O342" i="4"/>
  <c r="N342" i="4"/>
  <c r="L342" i="4"/>
  <c r="K342" i="4"/>
  <c r="J342" i="4"/>
  <c r="I342" i="4"/>
  <c r="H342" i="4"/>
  <c r="G342" i="4"/>
  <c r="F342" i="4"/>
  <c r="E342" i="4"/>
  <c r="D342" i="4"/>
  <c r="C342" i="4"/>
  <c r="B342" i="4"/>
  <c r="A342" i="4"/>
  <c r="Q341" i="4"/>
  <c r="P341" i="4"/>
  <c r="O341" i="4"/>
  <c r="N341" i="4"/>
  <c r="L341" i="4"/>
  <c r="K341" i="4"/>
  <c r="J341" i="4"/>
  <c r="I341" i="4"/>
  <c r="H341" i="4"/>
  <c r="G341" i="4"/>
  <c r="F341" i="4"/>
  <c r="E341" i="4"/>
  <c r="D341" i="4"/>
  <c r="C341" i="4"/>
  <c r="B341" i="4"/>
  <c r="A341" i="4"/>
  <c r="Q340" i="4"/>
  <c r="P340" i="4"/>
  <c r="O340" i="4"/>
  <c r="N340" i="4"/>
  <c r="L340" i="4"/>
  <c r="K340" i="4"/>
  <c r="J340" i="4"/>
  <c r="I340" i="4"/>
  <c r="H340" i="4"/>
  <c r="G340" i="4"/>
  <c r="F340" i="4"/>
  <c r="E340" i="4"/>
  <c r="D340" i="4"/>
  <c r="C340" i="4"/>
  <c r="B340" i="4"/>
  <c r="A340" i="4"/>
  <c r="Q339" i="4"/>
  <c r="P339" i="4"/>
  <c r="O339" i="4"/>
  <c r="N339" i="4"/>
  <c r="L339" i="4"/>
  <c r="K339" i="4"/>
  <c r="J339" i="4"/>
  <c r="I339" i="4"/>
  <c r="H339" i="4"/>
  <c r="G339" i="4"/>
  <c r="F339" i="4"/>
  <c r="E339" i="4"/>
  <c r="D339" i="4"/>
  <c r="C339" i="4"/>
  <c r="B339" i="4"/>
  <c r="A339" i="4"/>
  <c r="Q338" i="4"/>
  <c r="P338" i="4"/>
  <c r="O338" i="4"/>
  <c r="N338" i="4"/>
  <c r="L338" i="4"/>
  <c r="K338" i="4"/>
  <c r="J338" i="4"/>
  <c r="I338" i="4"/>
  <c r="H338" i="4"/>
  <c r="G338" i="4"/>
  <c r="F338" i="4"/>
  <c r="E338" i="4"/>
  <c r="D338" i="4"/>
  <c r="C338" i="4"/>
  <c r="B338" i="4"/>
  <c r="A338" i="4"/>
  <c r="Q337" i="4"/>
  <c r="P337" i="4"/>
  <c r="O337" i="4"/>
  <c r="N337" i="4"/>
  <c r="L337" i="4"/>
  <c r="K337" i="4"/>
  <c r="J337" i="4"/>
  <c r="I337" i="4"/>
  <c r="H337" i="4"/>
  <c r="G337" i="4"/>
  <c r="F337" i="4"/>
  <c r="E337" i="4"/>
  <c r="D337" i="4"/>
  <c r="C337" i="4"/>
  <c r="B337" i="4"/>
  <c r="A337" i="4"/>
  <c r="Q336" i="4"/>
  <c r="P336" i="4"/>
  <c r="O336" i="4"/>
  <c r="N336" i="4"/>
  <c r="L336" i="4"/>
  <c r="K336" i="4"/>
  <c r="J336" i="4"/>
  <c r="I336" i="4"/>
  <c r="H336" i="4"/>
  <c r="G336" i="4"/>
  <c r="F336" i="4"/>
  <c r="E336" i="4"/>
  <c r="D336" i="4"/>
  <c r="C336" i="4"/>
  <c r="B336" i="4"/>
  <c r="A336" i="4"/>
  <c r="Q335" i="4"/>
  <c r="P335" i="4"/>
  <c r="O335" i="4"/>
  <c r="N335" i="4"/>
  <c r="L335" i="4"/>
  <c r="K335" i="4"/>
  <c r="J335" i="4"/>
  <c r="I335" i="4"/>
  <c r="H335" i="4"/>
  <c r="G335" i="4"/>
  <c r="F335" i="4"/>
  <c r="E335" i="4"/>
  <c r="D335" i="4"/>
  <c r="C335" i="4"/>
  <c r="B335" i="4"/>
  <c r="A335" i="4"/>
  <c r="Q334" i="4"/>
  <c r="P334" i="4"/>
  <c r="O334" i="4"/>
  <c r="N334" i="4"/>
  <c r="L334" i="4"/>
  <c r="K334" i="4"/>
  <c r="J334" i="4"/>
  <c r="I334" i="4"/>
  <c r="H334" i="4"/>
  <c r="G334" i="4"/>
  <c r="F334" i="4"/>
  <c r="E334" i="4"/>
  <c r="D334" i="4"/>
  <c r="C334" i="4"/>
  <c r="B334" i="4"/>
  <c r="A334" i="4"/>
  <c r="Q333" i="4"/>
  <c r="P333" i="4"/>
  <c r="O333" i="4"/>
  <c r="N333" i="4"/>
  <c r="L333" i="4"/>
  <c r="K333" i="4"/>
  <c r="J333" i="4"/>
  <c r="I333" i="4"/>
  <c r="H333" i="4"/>
  <c r="G333" i="4"/>
  <c r="F333" i="4"/>
  <c r="E333" i="4"/>
  <c r="D333" i="4"/>
  <c r="C333" i="4"/>
  <c r="B333" i="4"/>
  <c r="A333" i="4"/>
  <c r="Q332" i="4"/>
  <c r="P332" i="4"/>
  <c r="O332" i="4"/>
  <c r="N332" i="4"/>
  <c r="L332" i="4"/>
  <c r="K332" i="4"/>
  <c r="J332" i="4"/>
  <c r="I332" i="4"/>
  <c r="H332" i="4"/>
  <c r="G332" i="4"/>
  <c r="F332" i="4"/>
  <c r="E332" i="4"/>
  <c r="D332" i="4"/>
  <c r="C332" i="4"/>
  <c r="B332" i="4"/>
  <c r="A332" i="4"/>
  <c r="Q331" i="4"/>
  <c r="P331" i="4"/>
  <c r="O331" i="4"/>
  <c r="N331" i="4"/>
  <c r="L331" i="4"/>
  <c r="K331" i="4"/>
  <c r="J331" i="4"/>
  <c r="I331" i="4"/>
  <c r="H331" i="4"/>
  <c r="G331" i="4"/>
  <c r="F331" i="4"/>
  <c r="E331" i="4"/>
  <c r="D331" i="4"/>
  <c r="C331" i="4"/>
  <c r="B331" i="4"/>
  <c r="A331" i="4"/>
  <c r="Q330" i="4"/>
  <c r="P330" i="4"/>
  <c r="O330" i="4"/>
  <c r="N330" i="4"/>
  <c r="L330" i="4"/>
  <c r="K330" i="4"/>
  <c r="J330" i="4"/>
  <c r="I330" i="4"/>
  <c r="H330" i="4"/>
  <c r="G330" i="4"/>
  <c r="F330" i="4"/>
  <c r="E330" i="4"/>
  <c r="D330" i="4"/>
  <c r="C330" i="4"/>
  <c r="B330" i="4"/>
  <c r="A330" i="4"/>
  <c r="Q329" i="4"/>
  <c r="P329" i="4"/>
  <c r="O329" i="4"/>
  <c r="N329" i="4"/>
  <c r="L329" i="4"/>
  <c r="K329" i="4"/>
  <c r="J329" i="4"/>
  <c r="I329" i="4"/>
  <c r="H329" i="4"/>
  <c r="G329" i="4"/>
  <c r="F329" i="4"/>
  <c r="E329" i="4"/>
  <c r="D329" i="4"/>
  <c r="C329" i="4"/>
  <c r="B329" i="4"/>
  <c r="A329" i="4"/>
  <c r="Q328" i="4"/>
  <c r="P328" i="4"/>
  <c r="O328" i="4"/>
  <c r="N328" i="4"/>
  <c r="L328" i="4"/>
  <c r="K328" i="4"/>
  <c r="J328" i="4"/>
  <c r="I328" i="4"/>
  <c r="H328" i="4"/>
  <c r="G328" i="4"/>
  <c r="F328" i="4"/>
  <c r="E328" i="4"/>
  <c r="D328" i="4"/>
  <c r="C328" i="4"/>
  <c r="B328" i="4"/>
  <c r="A328" i="4"/>
  <c r="Q327" i="4"/>
  <c r="P327" i="4"/>
  <c r="O327" i="4"/>
  <c r="N327" i="4"/>
  <c r="L327" i="4"/>
  <c r="K327" i="4"/>
  <c r="J327" i="4"/>
  <c r="I327" i="4"/>
  <c r="H327" i="4"/>
  <c r="G327" i="4"/>
  <c r="F327" i="4"/>
  <c r="E327" i="4"/>
  <c r="D327" i="4"/>
  <c r="C327" i="4"/>
  <c r="B327" i="4"/>
  <c r="A327" i="4"/>
  <c r="Q326" i="4"/>
  <c r="P326" i="4"/>
  <c r="O326" i="4"/>
  <c r="N326" i="4"/>
  <c r="L326" i="4"/>
  <c r="K326" i="4"/>
  <c r="J326" i="4"/>
  <c r="I326" i="4"/>
  <c r="H326" i="4"/>
  <c r="G326" i="4"/>
  <c r="F326" i="4"/>
  <c r="E326" i="4"/>
  <c r="D326" i="4"/>
  <c r="C326" i="4"/>
  <c r="B326" i="4"/>
  <c r="A326" i="4"/>
  <c r="Q325" i="4"/>
  <c r="P325" i="4"/>
  <c r="O325" i="4"/>
  <c r="N325" i="4"/>
  <c r="L325" i="4"/>
  <c r="K325" i="4"/>
  <c r="J325" i="4"/>
  <c r="I325" i="4"/>
  <c r="H325" i="4"/>
  <c r="G325" i="4"/>
  <c r="F325" i="4"/>
  <c r="E325" i="4"/>
  <c r="D325" i="4"/>
  <c r="C325" i="4"/>
  <c r="B325" i="4"/>
  <c r="A325" i="4"/>
  <c r="Q324" i="4"/>
  <c r="P324" i="4"/>
  <c r="O324" i="4"/>
  <c r="N324" i="4"/>
  <c r="L324" i="4"/>
  <c r="K324" i="4"/>
  <c r="J324" i="4"/>
  <c r="I324" i="4"/>
  <c r="H324" i="4"/>
  <c r="G324" i="4"/>
  <c r="F324" i="4"/>
  <c r="E324" i="4"/>
  <c r="D324" i="4"/>
  <c r="C324" i="4"/>
  <c r="B324" i="4"/>
  <c r="A324" i="4"/>
  <c r="Q323" i="4"/>
  <c r="P323" i="4"/>
  <c r="O323" i="4"/>
  <c r="N323" i="4"/>
  <c r="L323" i="4"/>
  <c r="K323" i="4"/>
  <c r="J323" i="4"/>
  <c r="I323" i="4"/>
  <c r="H323" i="4"/>
  <c r="G323" i="4"/>
  <c r="F323" i="4"/>
  <c r="E323" i="4"/>
  <c r="D323" i="4"/>
  <c r="C323" i="4"/>
  <c r="B323" i="4"/>
  <c r="A323" i="4"/>
  <c r="Q322" i="4"/>
  <c r="P322" i="4"/>
  <c r="O322" i="4"/>
  <c r="N322" i="4"/>
  <c r="L322" i="4"/>
  <c r="K322" i="4"/>
  <c r="J322" i="4"/>
  <c r="I322" i="4"/>
  <c r="H322" i="4"/>
  <c r="G322" i="4"/>
  <c r="F322" i="4"/>
  <c r="E322" i="4"/>
  <c r="D322" i="4"/>
  <c r="C322" i="4"/>
  <c r="B322" i="4"/>
  <c r="A322" i="4"/>
  <c r="Q321" i="4"/>
  <c r="P321" i="4"/>
  <c r="O321" i="4"/>
  <c r="N321" i="4"/>
  <c r="L321" i="4"/>
  <c r="K321" i="4"/>
  <c r="J321" i="4"/>
  <c r="I321" i="4"/>
  <c r="H321" i="4"/>
  <c r="G321" i="4"/>
  <c r="F321" i="4"/>
  <c r="E321" i="4"/>
  <c r="D321" i="4"/>
  <c r="C321" i="4"/>
  <c r="B321" i="4"/>
  <c r="A321" i="4"/>
  <c r="Q320" i="4"/>
  <c r="P320" i="4"/>
  <c r="O320" i="4"/>
  <c r="N320" i="4"/>
  <c r="L320" i="4"/>
  <c r="K320" i="4"/>
  <c r="J320" i="4"/>
  <c r="I320" i="4"/>
  <c r="H320" i="4"/>
  <c r="G320" i="4"/>
  <c r="F320" i="4"/>
  <c r="E320" i="4"/>
  <c r="D320" i="4"/>
  <c r="C320" i="4"/>
  <c r="B320" i="4"/>
  <c r="A320" i="4"/>
  <c r="Q319" i="4"/>
  <c r="P319" i="4"/>
  <c r="O319" i="4"/>
  <c r="N319" i="4"/>
  <c r="L319" i="4"/>
  <c r="K319" i="4"/>
  <c r="J319" i="4"/>
  <c r="I319" i="4"/>
  <c r="H319" i="4"/>
  <c r="G319" i="4"/>
  <c r="F319" i="4"/>
  <c r="E319" i="4"/>
  <c r="D319" i="4"/>
  <c r="C319" i="4"/>
  <c r="B319" i="4"/>
  <c r="A319" i="4"/>
  <c r="Q318" i="4"/>
  <c r="P318" i="4"/>
  <c r="O318" i="4"/>
  <c r="N318" i="4"/>
  <c r="L318" i="4"/>
  <c r="K318" i="4"/>
  <c r="J318" i="4"/>
  <c r="I318" i="4"/>
  <c r="H318" i="4"/>
  <c r="G318" i="4"/>
  <c r="F318" i="4"/>
  <c r="E318" i="4"/>
  <c r="D318" i="4"/>
  <c r="C318" i="4"/>
  <c r="B318" i="4"/>
  <c r="A318" i="4"/>
  <c r="Q317" i="4"/>
  <c r="P317" i="4"/>
  <c r="O317" i="4"/>
  <c r="N317" i="4"/>
  <c r="L317" i="4"/>
  <c r="K317" i="4"/>
  <c r="J317" i="4"/>
  <c r="I317" i="4"/>
  <c r="H317" i="4"/>
  <c r="G317" i="4"/>
  <c r="F317" i="4"/>
  <c r="E317" i="4"/>
  <c r="D317" i="4"/>
  <c r="C317" i="4"/>
  <c r="B317" i="4"/>
  <c r="A317" i="4"/>
  <c r="Q316" i="4"/>
  <c r="P316" i="4"/>
  <c r="O316" i="4"/>
  <c r="N316" i="4"/>
  <c r="L316" i="4"/>
  <c r="K316" i="4"/>
  <c r="J316" i="4"/>
  <c r="I316" i="4"/>
  <c r="H316" i="4"/>
  <c r="G316" i="4"/>
  <c r="F316" i="4"/>
  <c r="E316" i="4"/>
  <c r="D316" i="4"/>
  <c r="C316" i="4"/>
  <c r="B316" i="4"/>
  <c r="A316" i="4"/>
  <c r="Q315" i="4"/>
  <c r="P315" i="4"/>
  <c r="O315" i="4"/>
  <c r="N315" i="4"/>
  <c r="L315" i="4"/>
  <c r="K315" i="4"/>
  <c r="J315" i="4"/>
  <c r="I315" i="4"/>
  <c r="H315" i="4"/>
  <c r="G315" i="4"/>
  <c r="F315" i="4"/>
  <c r="E315" i="4"/>
  <c r="D315" i="4"/>
  <c r="C315" i="4"/>
  <c r="B315" i="4"/>
  <c r="A315" i="4"/>
  <c r="Q314" i="4"/>
  <c r="P314" i="4"/>
  <c r="O314" i="4"/>
  <c r="N314" i="4"/>
  <c r="L314" i="4"/>
  <c r="K314" i="4"/>
  <c r="J314" i="4"/>
  <c r="I314" i="4"/>
  <c r="H314" i="4"/>
  <c r="G314" i="4"/>
  <c r="F314" i="4"/>
  <c r="E314" i="4"/>
  <c r="D314" i="4"/>
  <c r="C314" i="4"/>
  <c r="B314" i="4"/>
  <c r="A314" i="4"/>
  <c r="Q313" i="4"/>
  <c r="P313" i="4"/>
  <c r="O313" i="4"/>
  <c r="N313" i="4"/>
  <c r="L313" i="4"/>
  <c r="K313" i="4"/>
  <c r="J313" i="4"/>
  <c r="I313" i="4"/>
  <c r="H313" i="4"/>
  <c r="G313" i="4"/>
  <c r="F313" i="4"/>
  <c r="E313" i="4"/>
  <c r="D313" i="4"/>
  <c r="C313" i="4"/>
  <c r="B313" i="4"/>
  <c r="A313" i="4"/>
  <c r="Q312" i="4"/>
  <c r="P312" i="4"/>
  <c r="O312" i="4"/>
  <c r="N312" i="4"/>
  <c r="L312" i="4"/>
  <c r="K312" i="4"/>
  <c r="J312" i="4"/>
  <c r="I312" i="4"/>
  <c r="H312" i="4"/>
  <c r="G312" i="4"/>
  <c r="F312" i="4"/>
  <c r="E312" i="4"/>
  <c r="D312" i="4"/>
  <c r="C312" i="4"/>
  <c r="B312" i="4"/>
  <c r="A312" i="4"/>
  <c r="Q311" i="4"/>
  <c r="P311" i="4"/>
  <c r="O311" i="4"/>
  <c r="N311" i="4"/>
  <c r="L311" i="4"/>
  <c r="K311" i="4"/>
  <c r="J311" i="4"/>
  <c r="I311" i="4"/>
  <c r="H311" i="4"/>
  <c r="G311" i="4"/>
  <c r="F311" i="4"/>
  <c r="E311" i="4"/>
  <c r="D311" i="4"/>
  <c r="C311" i="4"/>
  <c r="B311" i="4"/>
  <c r="A311" i="4"/>
  <c r="Q310" i="4"/>
  <c r="P310" i="4"/>
  <c r="O310" i="4"/>
  <c r="N310" i="4"/>
  <c r="L310" i="4"/>
  <c r="K310" i="4"/>
  <c r="J310" i="4"/>
  <c r="I310" i="4"/>
  <c r="H310" i="4"/>
  <c r="G310" i="4"/>
  <c r="F310" i="4"/>
  <c r="E310" i="4"/>
  <c r="D310" i="4"/>
  <c r="C310" i="4"/>
  <c r="B310" i="4"/>
  <c r="A310" i="4"/>
  <c r="Q309" i="4"/>
  <c r="P309" i="4"/>
  <c r="O309" i="4"/>
  <c r="N309" i="4"/>
  <c r="L309" i="4"/>
  <c r="K309" i="4"/>
  <c r="J309" i="4"/>
  <c r="I309" i="4"/>
  <c r="H309" i="4"/>
  <c r="G309" i="4"/>
  <c r="F309" i="4"/>
  <c r="E309" i="4"/>
  <c r="D309" i="4"/>
  <c r="C309" i="4"/>
  <c r="B309" i="4"/>
  <c r="A309" i="4"/>
  <c r="Q308" i="4"/>
  <c r="P308" i="4"/>
  <c r="O308" i="4"/>
  <c r="N308" i="4"/>
  <c r="L308" i="4"/>
  <c r="K308" i="4"/>
  <c r="J308" i="4"/>
  <c r="I308" i="4"/>
  <c r="H308" i="4"/>
  <c r="G308" i="4"/>
  <c r="F308" i="4"/>
  <c r="E308" i="4"/>
  <c r="D308" i="4"/>
  <c r="C308" i="4"/>
  <c r="B308" i="4"/>
  <c r="A308" i="4"/>
  <c r="Q307" i="4"/>
  <c r="P307" i="4"/>
  <c r="O307" i="4"/>
  <c r="N307" i="4"/>
  <c r="L307" i="4"/>
  <c r="K307" i="4"/>
  <c r="J307" i="4"/>
  <c r="I307" i="4"/>
  <c r="H307" i="4"/>
  <c r="G307" i="4"/>
  <c r="F307" i="4"/>
  <c r="E307" i="4"/>
  <c r="D307" i="4"/>
  <c r="C307" i="4"/>
  <c r="B307" i="4"/>
  <c r="A307" i="4"/>
  <c r="Q306" i="4"/>
  <c r="P306" i="4"/>
  <c r="O306" i="4"/>
  <c r="N306" i="4"/>
  <c r="L306" i="4"/>
  <c r="K306" i="4"/>
  <c r="J306" i="4"/>
  <c r="I306" i="4"/>
  <c r="H306" i="4"/>
  <c r="G306" i="4"/>
  <c r="F306" i="4"/>
  <c r="E306" i="4"/>
  <c r="D306" i="4"/>
  <c r="C306" i="4"/>
  <c r="B306" i="4"/>
  <c r="A306" i="4"/>
  <c r="Q305" i="4"/>
  <c r="P305" i="4"/>
  <c r="O305" i="4"/>
  <c r="N305" i="4"/>
  <c r="L305" i="4"/>
  <c r="K305" i="4"/>
  <c r="J305" i="4"/>
  <c r="I305" i="4"/>
  <c r="H305" i="4"/>
  <c r="G305" i="4"/>
  <c r="F305" i="4"/>
  <c r="E305" i="4"/>
  <c r="D305" i="4"/>
  <c r="C305" i="4"/>
  <c r="B305" i="4"/>
  <c r="A305" i="4"/>
  <c r="Q304" i="4"/>
  <c r="P304" i="4"/>
  <c r="O304" i="4"/>
  <c r="N304" i="4"/>
  <c r="L304" i="4"/>
  <c r="K304" i="4"/>
  <c r="J304" i="4"/>
  <c r="I304" i="4"/>
  <c r="H304" i="4"/>
  <c r="G304" i="4"/>
  <c r="F304" i="4"/>
  <c r="E304" i="4"/>
  <c r="D304" i="4"/>
  <c r="C304" i="4"/>
  <c r="B304" i="4"/>
  <c r="A304" i="4"/>
  <c r="Q303" i="4"/>
  <c r="P303" i="4"/>
  <c r="O303" i="4"/>
  <c r="N303" i="4"/>
  <c r="L303" i="4"/>
  <c r="K303" i="4"/>
  <c r="J303" i="4"/>
  <c r="I303" i="4"/>
  <c r="H303" i="4"/>
  <c r="G303" i="4"/>
  <c r="F303" i="4"/>
  <c r="E303" i="4"/>
  <c r="D303" i="4"/>
  <c r="C303" i="4"/>
  <c r="B303" i="4"/>
  <c r="A303" i="4"/>
  <c r="Q302" i="4"/>
  <c r="P302" i="4"/>
  <c r="O302" i="4"/>
  <c r="N302" i="4"/>
  <c r="L302" i="4"/>
  <c r="K302" i="4"/>
  <c r="J302" i="4"/>
  <c r="I302" i="4"/>
  <c r="H302" i="4"/>
  <c r="G302" i="4"/>
  <c r="F302" i="4"/>
  <c r="E302" i="4"/>
  <c r="D302" i="4"/>
  <c r="C302" i="4"/>
  <c r="B302" i="4"/>
  <c r="A302" i="4"/>
  <c r="Q301" i="4"/>
  <c r="P301" i="4"/>
  <c r="O301" i="4"/>
  <c r="N301" i="4"/>
  <c r="L301" i="4"/>
  <c r="K301" i="4"/>
  <c r="J301" i="4"/>
  <c r="I301" i="4"/>
  <c r="H301" i="4"/>
  <c r="G301" i="4"/>
  <c r="F301" i="4"/>
  <c r="E301" i="4"/>
  <c r="D301" i="4"/>
  <c r="C301" i="4"/>
  <c r="B301" i="4"/>
  <c r="A301" i="4"/>
  <c r="Q300" i="4"/>
  <c r="P300" i="4"/>
  <c r="O300" i="4"/>
  <c r="N300" i="4"/>
  <c r="L300" i="4"/>
  <c r="K300" i="4"/>
  <c r="J300" i="4"/>
  <c r="I300" i="4"/>
  <c r="H300" i="4"/>
  <c r="G300" i="4"/>
  <c r="F300" i="4"/>
  <c r="E300" i="4"/>
  <c r="D300" i="4"/>
  <c r="C300" i="4"/>
  <c r="B300" i="4"/>
  <c r="A300" i="4"/>
  <c r="Q299" i="4"/>
  <c r="P299" i="4"/>
  <c r="O299" i="4"/>
  <c r="N299" i="4"/>
  <c r="L299" i="4"/>
  <c r="K299" i="4"/>
  <c r="J299" i="4"/>
  <c r="I299" i="4"/>
  <c r="H299" i="4"/>
  <c r="G299" i="4"/>
  <c r="F299" i="4"/>
  <c r="E299" i="4"/>
  <c r="D299" i="4"/>
  <c r="C299" i="4"/>
  <c r="B299" i="4"/>
  <c r="A299" i="4"/>
  <c r="Q298" i="4"/>
  <c r="P298" i="4"/>
  <c r="O298" i="4"/>
  <c r="N298" i="4"/>
  <c r="L298" i="4"/>
  <c r="K298" i="4"/>
  <c r="J298" i="4"/>
  <c r="I298" i="4"/>
  <c r="H298" i="4"/>
  <c r="G298" i="4"/>
  <c r="F298" i="4"/>
  <c r="E298" i="4"/>
  <c r="D298" i="4"/>
  <c r="C298" i="4"/>
  <c r="B298" i="4"/>
  <c r="A298" i="4"/>
  <c r="Q297" i="4"/>
  <c r="P297" i="4"/>
  <c r="O297" i="4"/>
  <c r="N297" i="4"/>
  <c r="L297" i="4"/>
  <c r="K297" i="4"/>
  <c r="J297" i="4"/>
  <c r="I297" i="4"/>
  <c r="H297" i="4"/>
  <c r="G297" i="4"/>
  <c r="F297" i="4"/>
  <c r="E297" i="4"/>
  <c r="D297" i="4"/>
  <c r="C297" i="4"/>
  <c r="B297" i="4"/>
  <c r="A297" i="4"/>
  <c r="Q296" i="4"/>
  <c r="P296" i="4"/>
  <c r="O296" i="4"/>
  <c r="N296" i="4"/>
  <c r="L296" i="4"/>
  <c r="K296" i="4"/>
  <c r="J296" i="4"/>
  <c r="I296" i="4"/>
  <c r="H296" i="4"/>
  <c r="G296" i="4"/>
  <c r="F296" i="4"/>
  <c r="E296" i="4"/>
  <c r="D296" i="4"/>
  <c r="C296" i="4"/>
  <c r="B296" i="4"/>
  <c r="A296" i="4"/>
  <c r="Q295" i="4"/>
  <c r="P295" i="4"/>
  <c r="O295" i="4"/>
  <c r="N295" i="4"/>
  <c r="L295" i="4"/>
  <c r="K295" i="4"/>
  <c r="J295" i="4"/>
  <c r="I295" i="4"/>
  <c r="H295" i="4"/>
  <c r="G295" i="4"/>
  <c r="F295" i="4"/>
  <c r="E295" i="4"/>
  <c r="D295" i="4"/>
  <c r="C295" i="4"/>
  <c r="B295" i="4"/>
  <c r="A295" i="4"/>
  <c r="Q294" i="4"/>
  <c r="P294" i="4"/>
  <c r="O294" i="4"/>
  <c r="N294" i="4"/>
  <c r="L294" i="4"/>
  <c r="K294" i="4"/>
  <c r="J294" i="4"/>
  <c r="I294" i="4"/>
  <c r="H294" i="4"/>
  <c r="G294" i="4"/>
  <c r="F294" i="4"/>
  <c r="E294" i="4"/>
  <c r="D294" i="4"/>
  <c r="C294" i="4"/>
  <c r="B294" i="4"/>
  <c r="A294" i="4"/>
  <c r="Q293" i="4"/>
  <c r="P293" i="4"/>
  <c r="O293" i="4"/>
  <c r="N293" i="4"/>
  <c r="L293" i="4"/>
  <c r="K293" i="4"/>
  <c r="J293" i="4"/>
  <c r="I293" i="4"/>
  <c r="H293" i="4"/>
  <c r="G293" i="4"/>
  <c r="F293" i="4"/>
  <c r="E293" i="4"/>
  <c r="D293" i="4"/>
  <c r="C293" i="4"/>
  <c r="B293" i="4"/>
  <c r="A293" i="4"/>
  <c r="Q292" i="4"/>
  <c r="P292" i="4"/>
  <c r="O292" i="4"/>
  <c r="N292" i="4"/>
  <c r="L292" i="4"/>
  <c r="K292" i="4"/>
  <c r="J292" i="4"/>
  <c r="I292" i="4"/>
  <c r="H292" i="4"/>
  <c r="G292" i="4"/>
  <c r="F292" i="4"/>
  <c r="E292" i="4"/>
  <c r="D292" i="4"/>
  <c r="C292" i="4"/>
  <c r="B292" i="4"/>
  <c r="A292" i="4"/>
  <c r="Q291" i="4"/>
  <c r="P291" i="4"/>
  <c r="O291" i="4"/>
  <c r="N291" i="4"/>
  <c r="L291" i="4"/>
  <c r="K291" i="4"/>
  <c r="J291" i="4"/>
  <c r="I291" i="4"/>
  <c r="H291" i="4"/>
  <c r="G291" i="4"/>
  <c r="F291" i="4"/>
  <c r="E291" i="4"/>
  <c r="D291" i="4"/>
  <c r="C291" i="4"/>
  <c r="B291" i="4"/>
  <c r="A291" i="4"/>
  <c r="Q290" i="4"/>
  <c r="P290" i="4"/>
  <c r="O290" i="4"/>
  <c r="N290" i="4"/>
  <c r="L290" i="4"/>
  <c r="K290" i="4"/>
  <c r="J290" i="4"/>
  <c r="I290" i="4"/>
  <c r="H290" i="4"/>
  <c r="G290" i="4"/>
  <c r="F290" i="4"/>
  <c r="E290" i="4"/>
  <c r="D290" i="4"/>
  <c r="C290" i="4"/>
  <c r="B290" i="4"/>
  <c r="A290" i="4"/>
  <c r="Q289" i="4"/>
  <c r="P289" i="4"/>
  <c r="O289" i="4"/>
  <c r="N289" i="4"/>
  <c r="L289" i="4"/>
  <c r="K289" i="4"/>
  <c r="J289" i="4"/>
  <c r="I289" i="4"/>
  <c r="H289" i="4"/>
  <c r="G289" i="4"/>
  <c r="F289" i="4"/>
  <c r="E289" i="4"/>
  <c r="D289" i="4"/>
  <c r="C289" i="4"/>
  <c r="B289" i="4"/>
  <c r="A289" i="4"/>
  <c r="Q288" i="4"/>
  <c r="P288" i="4"/>
  <c r="O288" i="4"/>
  <c r="N288" i="4"/>
  <c r="L288" i="4"/>
  <c r="K288" i="4"/>
  <c r="J288" i="4"/>
  <c r="I288" i="4"/>
  <c r="H288" i="4"/>
  <c r="G288" i="4"/>
  <c r="F288" i="4"/>
  <c r="E288" i="4"/>
  <c r="D288" i="4"/>
  <c r="C288" i="4"/>
  <c r="B288" i="4"/>
  <c r="A288" i="4"/>
  <c r="Q287" i="4"/>
  <c r="P287" i="4"/>
  <c r="O287" i="4"/>
  <c r="N287" i="4"/>
  <c r="L287" i="4"/>
  <c r="K287" i="4"/>
  <c r="J287" i="4"/>
  <c r="I287" i="4"/>
  <c r="H287" i="4"/>
  <c r="G287" i="4"/>
  <c r="F287" i="4"/>
  <c r="E287" i="4"/>
  <c r="D287" i="4"/>
  <c r="C287" i="4"/>
  <c r="B287" i="4"/>
  <c r="A287" i="4"/>
  <c r="Q286" i="4"/>
  <c r="P286" i="4"/>
  <c r="O286" i="4"/>
  <c r="N286" i="4"/>
  <c r="L286" i="4"/>
  <c r="K286" i="4"/>
  <c r="J286" i="4"/>
  <c r="I286" i="4"/>
  <c r="H286" i="4"/>
  <c r="G286" i="4"/>
  <c r="F286" i="4"/>
  <c r="E286" i="4"/>
  <c r="D286" i="4"/>
  <c r="C286" i="4"/>
  <c r="B286" i="4"/>
  <c r="A286" i="4"/>
  <c r="Q285" i="4"/>
  <c r="P285" i="4"/>
  <c r="O285" i="4"/>
  <c r="N285" i="4"/>
  <c r="L285" i="4"/>
  <c r="K285" i="4"/>
  <c r="J285" i="4"/>
  <c r="I285" i="4"/>
  <c r="H285" i="4"/>
  <c r="G285" i="4"/>
  <c r="F285" i="4"/>
  <c r="E285" i="4"/>
  <c r="D285" i="4"/>
  <c r="C285" i="4"/>
  <c r="B285" i="4"/>
  <c r="A285" i="4"/>
  <c r="Q284" i="4"/>
  <c r="P284" i="4"/>
  <c r="O284" i="4"/>
  <c r="N284" i="4"/>
  <c r="L284" i="4"/>
  <c r="K284" i="4"/>
  <c r="J284" i="4"/>
  <c r="I284" i="4"/>
  <c r="H284" i="4"/>
  <c r="G284" i="4"/>
  <c r="F284" i="4"/>
  <c r="E284" i="4"/>
  <c r="D284" i="4"/>
  <c r="C284" i="4"/>
  <c r="B284" i="4"/>
  <c r="A284" i="4"/>
  <c r="Q283" i="4"/>
  <c r="P283" i="4"/>
  <c r="O283" i="4"/>
  <c r="N283" i="4"/>
  <c r="L283" i="4"/>
  <c r="K283" i="4"/>
  <c r="J283" i="4"/>
  <c r="I283" i="4"/>
  <c r="H283" i="4"/>
  <c r="G283" i="4"/>
  <c r="F283" i="4"/>
  <c r="E283" i="4"/>
  <c r="D283" i="4"/>
  <c r="C283" i="4"/>
  <c r="B283" i="4"/>
  <c r="A283" i="4"/>
  <c r="Q282" i="4"/>
  <c r="P282" i="4"/>
  <c r="O282" i="4"/>
  <c r="N282" i="4"/>
  <c r="L282" i="4"/>
  <c r="K282" i="4"/>
  <c r="J282" i="4"/>
  <c r="I282" i="4"/>
  <c r="H282" i="4"/>
  <c r="G282" i="4"/>
  <c r="F282" i="4"/>
  <c r="E282" i="4"/>
  <c r="D282" i="4"/>
  <c r="C282" i="4"/>
  <c r="B282" i="4"/>
  <c r="A282" i="4"/>
  <c r="Q281" i="4"/>
  <c r="P281" i="4"/>
  <c r="O281" i="4"/>
  <c r="N281" i="4"/>
  <c r="L281" i="4"/>
  <c r="K281" i="4"/>
  <c r="J281" i="4"/>
  <c r="I281" i="4"/>
  <c r="H281" i="4"/>
  <c r="G281" i="4"/>
  <c r="F281" i="4"/>
  <c r="E281" i="4"/>
  <c r="D281" i="4"/>
  <c r="C281" i="4"/>
  <c r="B281" i="4"/>
  <c r="A281" i="4"/>
  <c r="Q280" i="4"/>
  <c r="P280" i="4"/>
  <c r="O280" i="4"/>
  <c r="N280" i="4"/>
  <c r="L280" i="4"/>
  <c r="K280" i="4"/>
  <c r="J280" i="4"/>
  <c r="I280" i="4"/>
  <c r="H280" i="4"/>
  <c r="G280" i="4"/>
  <c r="F280" i="4"/>
  <c r="E280" i="4"/>
  <c r="D280" i="4"/>
  <c r="C280" i="4"/>
  <c r="B280" i="4"/>
  <c r="A280" i="4"/>
  <c r="Q279" i="4"/>
  <c r="P279" i="4"/>
  <c r="O279" i="4"/>
  <c r="N279" i="4"/>
  <c r="L279" i="4"/>
  <c r="K279" i="4"/>
  <c r="J279" i="4"/>
  <c r="I279" i="4"/>
  <c r="H279" i="4"/>
  <c r="G279" i="4"/>
  <c r="F279" i="4"/>
  <c r="E279" i="4"/>
  <c r="D279" i="4"/>
  <c r="C279" i="4"/>
  <c r="B279" i="4"/>
  <c r="A279" i="4"/>
  <c r="Q278" i="4"/>
  <c r="P278" i="4"/>
  <c r="O278" i="4"/>
  <c r="N278" i="4"/>
  <c r="L278" i="4"/>
  <c r="K278" i="4"/>
  <c r="J278" i="4"/>
  <c r="I278" i="4"/>
  <c r="H278" i="4"/>
  <c r="G278" i="4"/>
  <c r="F278" i="4"/>
  <c r="E278" i="4"/>
  <c r="D278" i="4"/>
  <c r="C278" i="4"/>
  <c r="B278" i="4"/>
  <c r="A278" i="4"/>
  <c r="Q277" i="4"/>
  <c r="P277" i="4"/>
  <c r="O277" i="4"/>
  <c r="N277" i="4"/>
  <c r="L277" i="4"/>
  <c r="K277" i="4"/>
  <c r="J277" i="4"/>
  <c r="I277" i="4"/>
  <c r="H277" i="4"/>
  <c r="G277" i="4"/>
  <c r="F277" i="4"/>
  <c r="E277" i="4"/>
  <c r="D277" i="4"/>
  <c r="C277" i="4"/>
  <c r="B277" i="4"/>
  <c r="A277" i="4"/>
  <c r="Q276" i="4"/>
  <c r="P276" i="4"/>
  <c r="O276" i="4"/>
  <c r="N276" i="4"/>
  <c r="L276" i="4"/>
  <c r="K276" i="4"/>
  <c r="J276" i="4"/>
  <c r="I276" i="4"/>
  <c r="H276" i="4"/>
  <c r="G276" i="4"/>
  <c r="F276" i="4"/>
  <c r="E276" i="4"/>
  <c r="D276" i="4"/>
  <c r="C276" i="4"/>
  <c r="B276" i="4"/>
  <c r="A276" i="4"/>
  <c r="Q275" i="4"/>
  <c r="P275" i="4"/>
  <c r="O275" i="4"/>
  <c r="N275" i="4"/>
  <c r="L275" i="4"/>
  <c r="K275" i="4"/>
  <c r="J275" i="4"/>
  <c r="I275" i="4"/>
  <c r="H275" i="4"/>
  <c r="G275" i="4"/>
  <c r="F275" i="4"/>
  <c r="E275" i="4"/>
  <c r="D275" i="4"/>
  <c r="C275" i="4"/>
  <c r="B275" i="4"/>
  <c r="A275" i="4"/>
  <c r="Q274" i="4"/>
  <c r="P274" i="4"/>
  <c r="O274" i="4"/>
  <c r="N274" i="4"/>
  <c r="L274" i="4"/>
  <c r="K274" i="4"/>
  <c r="J274" i="4"/>
  <c r="I274" i="4"/>
  <c r="H274" i="4"/>
  <c r="G274" i="4"/>
  <c r="F274" i="4"/>
  <c r="E274" i="4"/>
  <c r="D274" i="4"/>
  <c r="C274" i="4"/>
  <c r="B274" i="4"/>
  <c r="A274" i="4"/>
  <c r="Q273" i="4"/>
  <c r="P273" i="4"/>
  <c r="O273" i="4"/>
  <c r="N273" i="4"/>
  <c r="L273" i="4"/>
  <c r="K273" i="4"/>
  <c r="J273" i="4"/>
  <c r="I273" i="4"/>
  <c r="H273" i="4"/>
  <c r="G273" i="4"/>
  <c r="F273" i="4"/>
  <c r="E273" i="4"/>
  <c r="D273" i="4"/>
  <c r="C273" i="4"/>
  <c r="B273" i="4"/>
  <c r="A273" i="4"/>
  <c r="Q272" i="4"/>
  <c r="P272" i="4"/>
  <c r="O272" i="4"/>
  <c r="N272" i="4"/>
  <c r="L272" i="4"/>
  <c r="K272" i="4"/>
  <c r="J272" i="4"/>
  <c r="I272" i="4"/>
  <c r="H272" i="4"/>
  <c r="G272" i="4"/>
  <c r="F272" i="4"/>
  <c r="E272" i="4"/>
  <c r="D272" i="4"/>
  <c r="C272" i="4"/>
  <c r="B272" i="4"/>
  <c r="A272" i="4"/>
  <c r="Q271" i="4"/>
  <c r="P271" i="4"/>
  <c r="O271" i="4"/>
  <c r="N271" i="4"/>
  <c r="L271" i="4"/>
  <c r="K271" i="4"/>
  <c r="J271" i="4"/>
  <c r="I271" i="4"/>
  <c r="H271" i="4"/>
  <c r="G271" i="4"/>
  <c r="F271" i="4"/>
  <c r="E271" i="4"/>
  <c r="D271" i="4"/>
  <c r="C271" i="4"/>
  <c r="B271" i="4"/>
  <c r="A271" i="4"/>
  <c r="Q270" i="4"/>
  <c r="P270" i="4"/>
  <c r="O270" i="4"/>
  <c r="N270" i="4"/>
  <c r="L270" i="4"/>
  <c r="K270" i="4"/>
  <c r="J270" i="4"/>
  <c r="I270" i="4"/>
  <c r="H270" i="4"/>
  <c r="G270" i="4"/>
  <c r="F270" i="4"/>
  <c r="E270" i="4"/>
  <c r="D270" i="4"/>
  <c r="C270" i="4"/>
  <c r="B270" i="4"/>
  <c r="A270" i="4"/>
  <c r="Q269" i="4"/>
  <c r="P269" i="4"/>
  <c r="O269" i="4"/>
  <c r="N269" i="4"/>
  <c r="L269" i="4"/>
  <c r="K269" i="4"/>
  <c r="J269" i="4"/>
  <c r="I269" i="4"/>
  <c r="H269" i="4"/>
  <c r="G269" i="4"/>
  <c r="F269" i="4"/>
  <c r="E269" i="4"/>
  <c r="D269" i="4"/>
  <c r="C269" i="4"/>
  <c r="B269" i="4"/>
  <c r="A269" i="4"/>
  <c r="Q268" i="4"/>
  <c r="P268" i="4"/>
  <c r="O268" i="4"/>
  <c r="N268" i="4"/>
  <c r="L268" i="4"/>
  <c r="K268" i="4"/>
  <c r="J268" i="4"/>
  <c r="I268" i="4"/>
  <c r="H268" i="4"/>
  <c r="G268" i="4"/>
  <c r="F268" i="4"/>
  <c r="E268" i="4"/>
  <c r="D268" i="4"/>
  <c r="C268" i="4"/>
  <c r="B268" i="4"/>
  <c r="A268" i="4"/>
  <c r="Q267" i="4"/>
  <c r="P267" i="4"/>
  <c r="O267" i="4"/>
  <c r="N267" i="4"/>
  <c r="L267" i="4"/>
  <c r="K267" i="4"/>
  <c r="J267" i="4"/>
  <c r="I267" i="4"/>
  <c r="H267" i="4"/>
  <c r="G267" i="4"/>
  <c r="F267" i="4"/>
  <c r="E267" i="4"/>
  <c r="D267" i="4"/>
  <c r="C267" i="4"/>
  <c r="B267" i="4"/>
  <c r="A267" i="4"/>
  <c r="Q266" i="4"/>
  <c r="P266" i="4"/>
  <c r="O266" i="4"/>
  <c r="N266" i="4"/>
  <c r="L266" i="4"/>
  <c r="K266" i="4"/>
  <c r="J266" i="4"/>
  <c r="I266" i="4"/>
  <c r="H266" i="4"/>
  <c r="G266" i="4"/>
  <c r="F266" i="4"/>
  <c r="E266" i="4"/>
  <c r="D266" i="4"/>
  <c r="C266" i="4"/>
  <c r="B266" i="4"/>
  <c r="A266" i="4"/>
  <c r="Q265" i="4"/>
  <c r="P265" i="4"/>
  <c r="O265" i="4"/>
  <c r="N265" i="4"/>
  <c r="L265" i="4"/>
  <c r="K265" i="4"/>
  <c r="J265" i="4"/>
  <c r="I265" i="4"/>
  <c r="H265" i="4"/>
  <c r="G265" i="4"/>
  <c r="F265" i="4"/>
  <c r="E265" i="4"/>
  <c r="D265" i="4"/>
  <c r="C265" i="4"/>
  <c r="B265" i="4"/>
  <c r="A265" i="4"/>
  <c r="Q264" i="4"/>
  <c r="P264" i="4"/>
  <c r="O264" i="4"/>
  <c r="N264" i="4"/>
  <c r="L264" i="4"/>
  <c r="K264" i="4"/>
  <c r="J264" i="4"/>
  <c r="I264" i="4"/>
  <c r="H264" i="4"/>
  <c r="G264" i="4"/>
  <c r="F264" i="4"/>
  <c r="E264" i="4"/>
  <c r="D264" i="4"/>
  <c r="C264" i="4"/>
  <c r="B264" i="4"/>
  <c r="A264" i="4"/>
  <c r="Q263" i="4"/>
  <c r="P263" i="4"/>
  <c r="O263" i="4"/>
  <c r="N263" i="4"/>
  <c r="L263" i="4"/>
  <c r="K263" i="4"/>
  <c r="J263" i="4"/>
  <c r="I263" i="4"/>
  <c r="H263" i="4"/>
  <c r="G263" i="4"/>
  <c r="F263" i="4"/>
  <c r="E263" i="4"/>
  <c r="D263" i="4"/>
  <c r="C263" i="4"/>
  <c r="B263" i="4"/>
  <c r="A263" i="4"/>
  <c r="Q262" i="4"/>
  <c r="P262" i="4"/>
  <c r="O262" i="4"/>
  <c r="N262" i="4"/>
  <c r="L262" i="4"/>
  <c r="K262" i="4"/>
  <c r="J262" i="4"/>
  <c r="I262" i="4"/>
  <c r="H262" i="4"/>
  <c r="G262" i="4"/>
  <c r="F262" i="4"/>
  <c r="E262" i="4"/>
  <c r="D262" i="4"/>
  <c r="C262" i="4"/>
  <c r="B262" i="4"/>
  <c r="A262" i="4"/>
  <c r="Q261" i="4"/>
  <c r="P261" i="4"/>
  <c r="O261" i="4"/>
  <c r="N261" i="4"/>
  <c r="L261" i="4"/>
  <c r="K261" i="4"/>
  <c r="J261" i="4"/>
  <c r="I261" i="4"/>
  <c r="H261" i="4"/>
  <c r="G261" i="4"/>
  <c r="F261" i="4"/>
  <c r="E261" i="4"/>
  <c r="D261" i="4"/>
  <c r="C261" i="4"/>
  <c r="B261" i="4"/>
  <c r="A261" i="4"/>
  <c r="Q260" i="4"/>
  <c r="P260" i="4"/>
  <c r="O260" i="4"/>
  <c r="N260" i="4"/>
  <c r="L260" i="4"/>
  <c r="K260" i="4"/>
  <c r="J260" i="4"/>
  <c r="I260" i="4"/>
  <c r="H260" i="4"/>
  <c r="G260" i="4"/>
  <c r="F260" i="4"/>
  <c r="E260" i="4"/>
  <c r="D260" i="4"/>
  <c r="C260" i="4"/>
  <c r="B260" i="4"/>
  <c r="A260" i="4"/>
  <c r="Q259" i="4"/>
  <c r="P259" i="4"/>
  <c r="O259" i="4"/>
  <c r="N259" i="4"/>
  <c r="L259" i="4"/>
  <c r="K259" i="4"/>
  <c r="J259" i="4"/>
  <c r="I259" i="4"/>
  <c r="H259" i="4"/>
  <c r="G259" i="4"/>
  <c r="F259" i="4"/>
  <c r="E259" i="4"/>
  <c r="D259" i="4"/>
  <c r="C259" i="4"/>
  <c r="B259" i="4"/>
  <c r="A259" i="4"/>
  <c r="Q258" i="4"/>
  <c r="P258" i="4"/>
  <c r="O258" i="4"/>
  <c r="N258" i="4"/>
  <c r="L258" i="4"/>
  <c r="K258" i="4"/>
  <c r="J258" i="4"/>
  <c r="I258" i="4"/>
  <c r="H258" i="4"/>
  <c r="G258" i="4"/>
  <c r="F258" i="4"/>
  <c r="E258" i="4"/>
  <c r="D258" i="4"/>
  <c r="C258" i="4"/>
  <c r="B258" i="4"/>
  <c r="A258" i="4"/>
  <c r="Q257" i="4"/>
  <c r="P257" i="4"/>
  <c r="O257" i="4"/>
  <c r="N257" i="4"/>
  <c r="L257" i="4"/>
  <c r="K257" i="4"/>
  <c r="J257" i="4"/>
  <c r="I257" i="4"/>
  <c r="H257" i="4"/>
  <c r="G257" i="4"/>
  <c r="F257" i="4"/>
  <c r="E257" i="4"/>
  <c r="D257" i="4"/>
  <c r="C257" i="4"/>
  <c r="B257" i="4"/>
  <c r="A257" i="4"/>
  <c r="Q256" i="4"/>
  <c r="P256" i="4"/>
  <c r="O256" i="4"/>
  <c r="N256" i="4"/>
  <c r="L256" i="4"/>
  <c r="K256" i="4"/>
  <c r="J256" i="4"/>
  <c r="I256" i="4"/>
  <c r="H256" i="4"/>
  <c r="G256" i="4"/>
  <c r="F256" i="4"/>
  <c r="E256" i="4"/>
  <c r="D256" i="4"/>
  <c r="C256" i="4"/>
  <c r="B256" i="4"/>
  <c r="A256" i="4"/>
  <c r="Q255" i="4"/>
  <c r="P255" i="4"/>
  <c r="O255" i="4"/>
  <c r="N255" i="4"/>
  <c r="L255" i="4"/>
  <c r="K255" i="4"/>
  <c r="J255" i="4"/>
  <c r="I255" i="4"/>
  <c r="H255" i="4"/>
  <c r="G255" i="4"/>
  <c r="F255" i="4"/>
  <c r="E255" i="4"/>
  <c r="D255" i="4"/>
  <c r="C255" i="4"/>
  <c r="B255" i="4"/>
  <c r="A255" i="4"/>
  <c r="Q254" i="4"/>
  <c r="P254" i="4"/>
  <c r="O254" i="4"/>
  <c r="N254" i="4"/>
  <c r="L254" i="4"/>
  <c r="K254" i="4"/>
  <c r="J254" i="4"/>
  <c r="I254" i="4"/>
  <c r="H254" i="4"/>
  <c r="G254" i="4"/>
  <c r="F254" i="4"/>
  <c r="E254" i="4"/>
  <c r="D254" i="4"/>
  <c r="C254" i="4"/>
  <c r="B254" i="4"/>
  <c r="A254" i="4"/>
  <c r="Q253" i="4"/>
  <c r="P253" i="4"/>
  <c r="O253" i="4"/>
  <c r="N253" i="4"/>
  <c r="L253" i="4"/>
  <c r="K253" i="4"/>
  <c r="J253" i="4"/>
  <c r="I253" i="4"/>
  <c r="H253" i="4"/>
  <c r="G253" i="4"/>
  <c r="F253" i="4"/>
  <c r="E253" i="4"/>
  <c r="D253" i="4"/>
  <c r="C253" i="4"/>
  <c r="B253" i="4"/>
  <c r="A253" i="4"/>
  <c r="Q252" i="4"/>
  <c r="P252" i="4"/>
  <c r="O252" i="4"/>
  <c r="N252" i="4"/>
  <c r="L252" i="4"/>
  <c r="K252" i="4"/>
  <c r="J252" i="4"/>
  <c r="I252" i="4"/>
  <c r="H252" i="4"/>
  <c r="G252" i="4"/>
  <c r="F252" i="4"/>
  <c r="E252" i="4"/>
  <c r="D252" i="4"/>
  <c r="C252" i="4"/>
  <c r="B252" i="4"/>
  <c r="A252" i="4"/>
  <c r="Q251" i="4"/>
  <c r="P251" i="4"/>
  <c r="O251" i="4"/>
  <c r="N251" i="4"/>
  <c r="L251" i="4"/>
  <c r="K251" i="4"/>
  <c r="J251" i="4"/>
  <c r="I251" i="4"/>
  <c r="H251" i="4"/>
  <c r="G251" i="4"/>
  <c r="F251" i="4"/>
  <c r="E251" i="4"/>
  <c r="D251" i="4"/>
  <c r="C251" i="4"/>
  <c r="B251" i="4"/>
  <c r="A251" i="4"/>
  <c r="Q250" i="4"/>
  <c r="P250" i="4"/>
  <c r="O250" i="4"/>
  <c r="N250" i="4"/>
  <c r="L250" i="4"/>
  <c r="K250" i="4"/>
  <c r="J250" i="4"/>
  <c r="I250" i="4"/>
  <c r="H250" i="4"/>
  <c r="G250" i="4"/>
  <c r="F250" i="4"/>
  <c r="E250" i="4"/>
  <c r="D250" i="4"/>
  <c r="C250" i="4"/>
  <c r="B250" i="4"/>
  <c r="A250" i="4"/>
  <c r="Q249" i="4"/>
  <c r="P249" i="4"/>
  <c r="O249" i="4"/>
  <c r="N249" i="4"/>
  <c r="L249" i="4"/>
  <c r="K249" i="4"/>
  <c r="J249" i="4"/>
  <c r="I249" i="4"/>
  <c r="H249" i="4"/>
  <c r="G249" i="4"/>
  <c r="F249" i="4"/>
  <c r="E249" i="4"/>
  <c r="D249" i="4"/>
  <c r="C249" i="4"/>
  <c r="B249" i="4"/>
  <c r="A249" i="4"/>
  <c r="Q248" i="4"/>
  <c r="P248" i="4"/>
  <c r="O248" i="4"/>
  <c r="N248" i="4"/>
  <c r="L248" i="4"/>
  <c r="K248" i="4"/>
  <c r="J248" i="4"/>
  <c r="I248" i="4"/>
  <c r="H248" i="4"/>
  <c r="G248" i="4"/>
  <c r="F248" i="4"/>
  <c r="E248" i="4"/>
  <c r="D248" i="4"/>
  <c r="C248" i="4"/>
  <c r="B248" i="4"/>
  <c r="A248" i="4"/>
  <c r="Q247" i="4"/>
  <c r="P247" i="4"/>
  <c r="O247" i="4"/>
  <c r="N247" i="4"/>
  <c r="L247" i="4"/>
  <c r="K247" i="4"/>
  <c r="J247" i="4"/>
  <c r="I247" i="4"/>
  <c r="H247" i="4"/>
  <c r="G247" i="4"/>
  <c r="F247" i="4"/>
  <c r="E247" i="4"/>
  <c r="D247" i="4"/>
  <c r="C247" i="4"/>
  <c r="B247" i="4"/>
  <c r="A247" i="4"/>
  <c r="Q246" i="4"/>
  <c r="P246" i="4"/>
  <c r="O246" i="4"/>
  <c r="N246" i="4"/>
  <c r="L246" i="4"/>
  <c r="K246" i="4"/>
  <c r="J246" i="4"/>
  <c r="I246" i="4"/>
  <c r="H246" i="4"/>
  <c r="G246" i="4"/>
  <c r="F246" i="4"/>
  <c r="E246" i="4"/>
  <c r="D246" i="4"/>
  <c r="C246" i="4"/>
  <c r="B246" i="4"/>
  <c r="A246" i="4"/>
  <c r="Q245" i="4"/>
  <c r="P245" i="4"/>
  <c r="O245" i="4"/>
  <c r="N245" i="4"/>
  <c r="L245" i="4"/>
  <c r="K245" i="4"/>
  <c r="J245" i="4"/>
  <c r="I245" i="4"/>
  <c r="H245" i="4"/>
  <c r="G245" i="4"/>
  <c r="F245" i="4"/>
  <c r="E245" i="4"/>
  <c r="D245" i="4"/>
  <c r="C245" i="4"/>
  <c r="B245" i="4"/>
  <c r="A245" i="4"/>
  <c r="Q244" i="4"/>
  <c r="P244" i="4"/>
  <c r="O244" i="4"/>
  <c r="N244" i="4"/>
  <c r="L244" i="4"/>
  <c r="K244" i="4"/>
  <c r="J244" i="4"/>
  <c r="I244" i="4"/>
  <c r="H244" i="4"/>
  <c r="G244" i="4"/>
  <c r="F244" i="4"/>
  <c r="E244" i="4"/>
  <c r="D244" i="4"/>
  <c r="C244" i="4"/>
  <c r="B244" i="4"/>
  <c r="A244" i="4"/>
  <c r="Q243" i="4"/>
  <c r="P243" i="4"/>
  <c r="O243" i="4"/>
  <c r="N243" i="4"/>
  <c r="L243" i="4"/>
  <c r="K243" i="4"/>
  <c r="J243" i="4"/>
  <c r="I243" i="4"/>
  <c r="H243" i="4"/>
  <c r="G243" i="4"/>
  <c r="F243" i="4"/>
  <c r="E243" i="4"/>
  <c r="D243" i="4"/>
  <c r="C243" i="4"/>
  <c r="B243" i="4"/>
  <c r="A243" i="4"/>
  <c r="Q242" i="4"/>
  <c r="P242" i="4"/>
  <c r="O242" i="4"/>
  <c r="N242" i="4"/>
  <c r="L242" i="4"/>
  <c r="K242" i="4"/>
  <c r="J242" i="4"/>
  <c r="I242" i="4"/>
  <c r="H242" i="4"/>
  <c r="G242" i="4"/>
  <c r="F242" i="4"/>
  <c r="E242" i="4"/>
  <c r="D242" i="4"/>
  <c r="C242" i="4"/>
  <c r="B242" i="4"/>
  <c r="A242" i="4"/>
  <c r="Q241" i="4"/>
  <c r="P241" i="4"/>
  <c r="O241" i="4"/>
  <c r="N241" i="4"/>
  <c r="L241" i="4"/>
  <c r="K241" i="4"/>
  <c r="J241" i="4"/>
  <c r="I241" i="4"/>
  <c r="H241" i="4"/>
  <c r="G241" i="4"/>
  <c r="F241" i="4"/>
  <c r="E241" i="4"/>
  <c r="D241" i="4"/>
  <c r="C241" i="4"/>
  <c r="B241" i="4"/>
  <c r="A241" i="4"/>
  <c r="Q240" i="4"/>
  <c r="P240" i="4"/>
  <c r="O240" i="4"/>
  <c r="N240" i="4"/>
  <c r="L240" i="4"/>
  <c r="K240" i="4"/>
  <c r="J240" i="4"/>
  <c r="I240" i="4"/>
  <c r="H240" i="4"/>
  <c r="G240" i="4"/>
  <c r="F240" i="4"/>
  <c r="E240" i="4"/>
  <c r="D240" i="4"/>
  <c r="C240" i="4"/>
  <c r="B240" i="4"/>
  <c r="A240" i="4"/>
  <c r="Q239" i="4"/>
  <c r="P239" i="4"/>
  <c r="O239" i="4"/>
  <c r="N239" i="4"/>
  <c r="L239" i="4"/>
  <c r="K239" i="4"/>
  <c r="J239" i="4"/>
  <c r="I239" i="4"/>
  <c r="H239" i="4"/>
  <c r="G239" i="4"/>
  <c r="F239" i="4"/>
  <c r="E239" i="4"/>
  <c r="D239" i="4"/>
  <c r="C239" i="4"/>
  <c r="B239" i="4"/>
  <c r="A239" i="4"/>
  <c r="Q238" i="4"/>
  <c r="P238" i="4"/>
  <c r="O238" i="4"/>
  <c r="N238" i="4"/>
  <c r="L238" i="4"/>
  <c r="K238" i="4"/>
  <c r="J238" i="4"/>
  <c r="I238" i="4"/>
  <c r="H238" i="4"/>
  <c r="G238" i="4"/>
  <c r="F238" i="4"/>
  <c r="E238" i="4"/>
  <c r="D238" i="4"/>
  <c r="C238" i="4"/>
  <c r="B238" i="4"/>
  <c r="A238" i="4"/>
  <c r="Q237" i="4"/>
  <c r="P237" i="4"/>
  <c r="O237" i="4"/>
  <c r="N237" i="4"/>
  <c r="L237" i="4"/>
  <c r="K237" i="4"/>
  <c r="J237" i="4"/>
  <c r="I237" i="4"/>
  <c r="H237" i="4"/>
  <c r="G237" i="4"/>
  <c r="F237" i="4"/>
  <c r="E237" i="4"/>
  <c r="D237" i="4"/>
  <c r="C237" i="4"/>
  <c r="B237" i="4"/>
  <c r="A237" i="4"/>
  <c r="Q236" i="4"/>
  <c r="P236" i="4"/>
  <c r="O236" i="4"/>
  <c r="N236" i="4"/>
  <c r="L236" i="4"/>
  <c r="K236" i="4"/>
  <c r="J236" i="4"/>
  <c r="I236" i="4"/>
  <c r="H236" i="4"/>
  <c r="G236" i="4"/>
  <c r="F236" i="4"/>
  <c r="E236" i="4"/>
  <c r="D236" i="4"/>
  <c r="C236" i="4"/>
  <c r="B236" i="4"/>
  <c r="A236" i="4"/>
  <c r="Q235" i="4"/>
  <c r="P235" i="4"/>
  <c r="O235" i="4"/>
  <c r="N235" i="4"/>
  <c r="L235" i="4"/>
  <c r="K235" i="4"/>
  <c r="J235" i="4"/>
  <c r="I235" i="4"/>
  <c r="H235" i="4"/>
  <c r="G235" i="4"/>
  <c r="F235" i="4"/>
  <c r="E235" i="4"/>
  <c r="D235" i="4"/>
  <c r="C235" i="4"/>
  <c r="B235" i="4"/>
  <c r="A235" i="4"/>
  <c r="Q234" i="4"/>
  <c r="P234" i="4"/>
  <c r="O234" i="4"/>
  <c r="N234" i="4"/>
  <c r="L234" i="4"/>
  <c r="K234" i="4"/>
  <c r="J234" i="4"/>
  <c r="I234" i="4"/>
  <c r="H234" i="4"/>
  <c r="G234" i="4"/>
  <c r="F234" i="4"/>
  <c r="E234" i="4"/>
  <c r="D234" i="4"/>
  <c r="C234" i="4"/>
  <c r="B234" i="4"/>
  <c r="A234" i="4"/>
  <c r="Q233" i="4"/>
  <c r="P233" i="4"/>
  <c r="O233" i="4"/>
  <c r="N233" i="4"/>
  <c r="L233" i="4"/>
  <c r="K233" i="4"/>
  <c r="J233" i="4"/>
  <c r="I233" i="4"/>
  <c r="H233" i="4"/>
  <c r="G233" i="4"/>
  <c r="F233" i="4"/>
  <c r="E233" i="4"/>
  <c r="D233" i="4"/>
  <c r="C233" i="4"/>
  <c r="B233" i="4"/>
  <c r="A233" i="4"/>
  <c r="Q232" i="4"/>
  <c r="P232" i="4"/>
  <c r="O232" i="4"/>
  <c r="N232" i="4"/>
  <c r="L232" i="4"/>
  <c r="K232" i="4"/>
  <c r="J232" i="4"/>
  <c r="I232" i="4"/>
  <c r="H232" i="4"/>
  <c r="G232" i="4"/>
  <c r="F232" i="4"/>
  <c r="E232" i="4"/>
  <c r="D232" i="4"/>
  <c r="C232" i="4"/>
  <c r="B232" i="4"/>
  <c r="A232" i="4"/>
  <c r="Q231" i="4"/>
  <c r="P231" i="4"/>
  <c r="O231" i="4"/>
  <c r="N231" i="4"/>
  <c r="L231" i="4"/>
  <c r="K231" i="4"/>
  <c r="J231" i="4"/>
  <c r="I231" i="4"/>
  <c r="H231" i="4"/>
  <c r="G231" i="4"/>
  <c r="F231" i="4"/>
  <c r="E231" i="4"/>
  <c r="D231" i="4"/>
  <c r="C231" i="4"/>
  <c r="B231" i="4"/>
  <c r="A231" i="4"/>
  <c r="Q230" i="4"/>
  <c r="P230" i="4"/>
  <c r="O230" i="4"/>
  <c r="N230" i="4"/>
  <c r="L230" i="4"/>
  <c r="K230" i="4"/>
  <c r="J230" i="4"/>
  <c r="I230" i="4"/>
  <c r="H230" i="4"/>
  <c r="G230" i="4"/>
  <c r="F230" i="4"/>
  <c r="E230" i="4"/>
  <c r="D230" i="4"/>
  <c r="C230" i="4"/>
  <c r="B230" i="4"/>
  <c r="A230" i="4"/>
  <c r="Q229" i="4"/>
  <c r="P229" i="4"/>
  <c r="O229" i="4"/>
  <c r="N229" i="4"/>
  <c r="L229" i="4"/>
  <c r="K229" i="4"/>
  <c r="J229" i="4"/>
  <c r="I229" i="4"/>
  <c r="H229" i="4"/>
  <c r="G229" i="4"/>
  <c r="F229" i="4"/>
  <c r="E229" i="4"/>
  <c r="D229" i="4"/>
  <c r="C229" i="4"/>
  <c r="B229" i="4"/>
  <c r="A229" i="4"/>
  <c r="Q228" i="4"/>
  <c r="P228" i="4"/>
  <c r="O228" i="4"/>
  <c r="N228" i="4"/>
  <c r="L228" i="4"/>
  <c r="K228" i="4"/>
  <c r="J228" i="4"/>
  <c r="I228" i="4"/>
  <c r="H228" i="4"/>
  <c r="G228" i="4"/>
  <c r="F228" i="4"/>
  <c r="E228" i="4"/>
  <c r="D228" i="4"/>
  <c r="C228" i="4"/>
  <c r="B228" i="4"/>
  <c r="A228" i="4"/>
  <c r="Q227" i="4"/>
  <c r="P227" i="4"/>
  <c r="O227" i="4"/>
  <c r="N227" i="4"/>
  <c r="L227" i="4"/>
  <c r="K227" i="4"/>
  <c r="J227" i="4"/>
  <c r="I227" i="4"/>
  <c r="H227" i="4"/>
  <c r="G227" i="4"/>
  <c r="F227" i="4"/>
  <c r="E227" i="4"/>
  <c r="D227" i="4"/>
  <c r="C227" i="4"/>
  <c r="B227" i="4"/>
  <c r="A227" i="4"/>
  <c r="Q226" i="4"/>
  <c r="P226" i="4"/>
  <c r="O226" i="4"/>
  <c r="N226" i="4"/>
  <c r="L226" i="4"/>
  <c r="K226" i="4"/>
  <c r="J226" i="4"/>
  <c r="I226" i="4"/>
  <c r="H226" i="4"/>
  <c r="G226" i="4"/>
  <c r="F226" i="4"/>
  <c r="E226" i="4"/>
  <c r="D226" i="4"/>
  <c r="C226" i="4"/>
  <c r="B226" i="4"/>
  <c r="A226" i="4"/>
  <c r="Q225" i="4"/>
  <c r="P225" i="4"/>
  <c r="O225" i="4"/>
  <c r="N225" i="4"/>
  <c r="L225" i="4"/>
  <c r="K225" i="4"/>
  <c r="J225" i="4"/>
  <c r="I225" i="4"/>
  <c r="H225" i="4"/>
  <c r="G225" i="4"/>
  <c r="F225" i="4"/>
  <c r="E225" i="4"/>
  <c r="D225" i="4"/>
  <c r="C225" i="4"/>
  <c r="B225" i="4"/>
  <c r="A225" i="4"/>
  <c r="Q224" i="4"/>
  <c r="P224" i="4"/>
  <c r="O224" i="4"/>
  <c r="N224" i="4"/>
  <c r="L224" i="4"/>
  <c r="K224" i="4"/>
  <c r="J224" i="4"/>
  <c r="I224" i="4"/>
  <c r="H224" i="4"/>
  <c r="G224" i="4"/>
  <c r="F224" i="4"/>
  <c r="E224" i="4"/>
  <c r="D224" i="4"/>
  <c r="C224" i="4"/>
  <c r="B224" i="4"/>
  <c r="A224" i="4"/>
  <c r="Q223" i="4"/>
  <c r="P223" i="4"/>
  <c r="O223" i="4"/>
  <c r="N223" i="4"/>
  <c r="L223" i="4"/>
  <c r="K223" i="4"/>
  <c r="J223" i="4"/>
  <c r="I223" i="4"/>
  <c r="H223" i="4"/>
  <c r="G223" i="4"/>
  <c r="F223" i="4"/>
  <c r="E223" i="4"/>
  <c r="D223" i="4"/>
  <c r="C223" i="4"/>
  <c r="B223" i="4"/>
  <c r="A223" i="4"/>
  <c r="Q222" i="4"/>
  <c r="P222" i="4"/>
  <c r="O222" i="4"/>
  <c r="N222" i="4"/>
  <c r="L222" i="4"/>
  <c r="K222" i="4"/>
  <c r="J222" i="4"/>
  <c r="I222" i="4"/>
  <c r="H222" i="4"/>
  <c r="G222" i="4"/>
  <c r="F222" i="4"/>
  <c r="E222" i="4"/>
  <c r="D222" i="4"/>
  <c r="C222" i="4"/>
  <c r="B222" i="4"/>
  <c r="A222" i="4"/>
  <c r="Q221" i="4"/>
  <c r="P221" i="4"/>
  <c r="O221" i="4"/>
  <c r="N221" i="4"/>
  <c r="L221" i="4"/>
  <c r="K221" i="4"/>
  <c r="J221" i="4"/>
  <c r="I221" i="4"/>
  <c r="H221" i="4"/>
  <c r="G221" i="4"/>
  <c r="F221" i="4"/>
  <c r="E221" i="4"/>
  <c r="D221" i="4"/>
  <c r="C221" i="4"/>
  <c r="B221" i="4"/>
  <c r="A221" i="4"/>
  <c r="Q220" i="4"/>
  <c r="P220" i="4"/>
  <c r="O220" i="4"/>
  <c r="N220" i="4"/>
  <c r="L220" i="4"/>
  <c r="K220" i="4"/>
  <c r="J220" i="4"/>
  <c r="I220" i="4"/>
  <c r="H220" i="4"/>
  <c r="G220" i="4"/>
  <c r="F220" i="4"/>
  <c r="E220" i="4"/>
  <c r="D220" i="4"/>
  <c r="C220" i="4"/>
  <c r="B220" i="4"/>
  <c r="A220" i="4"/>
  <c r="Q219" i="4"/>
  <c r="P219" i="4"/>
  <c r="O219" i="4"/>
  <c r="N219" i="4"/>
  <c r="L219" i="4"/>
  <c r="K219" i="4"/>
  <c r="J219" i="4"/>
  <c r="I219" i="4"/>
  <c r="H219" i="4"/>
  <c r="G219" i="4"/>
  <c r="F219" i="4"/>
  <c r="E219" i="4"/>
  <c r="D219" i="4"/>
  <c r="C219" i="4"/>
  <c r="B219" i="4"/>
  <c r="A219" i="4"/>
  <c r="Q218" i="4"/>
  <c r="P218" i="4"/>
  <c r="O218" i="4"/>
  <c r="N218" i="4"/>
  <c r="L218" i="4"/>
  <c r="K218" i="4"/>
  <c r="J218" i="4"/>
  <c r="I218" i="4"/>
  <c r="H218" i="4"/>
  <c r="G218" i="4"/>
  <c r="F218" i="4"/>
  <c r="E218" i="4"/>
  <c r="D218" i="4"/>
  <c r="C218" i="4"/>
  <c r="B218" i="4"/>
  <c r="A218" i="4"/>
  <c r="Q217" i="4"/>
  <c r="P217" i="4"/>
  <c r="O217" i="4"/>
  <c r="N217" i="4"/>
  <c r="L217" i="4"/>
  <c r="K217" i="4"/>
  <c r="J217" i="4"/>
  <c r="I217" i="4"/>
  <c r="H217" i="4"/>
  <c r="G217" i="4"/>
  <c r="F217" i="4"/>
  <c r="E217" i="4"/>
  <c r="D217" i="4"/>
  <c r="C217" i="4"/>
  <c r="B217" i="4"/>
  <c r="A217" i="4"/>
  <c r="Q216" i="4"/>
  <c r="P216" i="4"/>
  <c r="O216" i="4"/>
  <c r="N216" i="4"/>
  <c r="L216" i="4"/>
  <c r="K216" i="4"/>
  <c r="J216" i="4"/>
  <c r="I216" i="4"/>
  <c r="H216" i="4"/>
  <c r="G216" i="4"/>
  <c r="F216" i="4"/>
  <c r="E216" i="4"/>
  <c r="D216" i="4"/>
  <c r="C216" i="4"/>
  <c r="B216" i="4"/>
  <c r="A216" i="4"/>
  <c r="Q215" i="4"/>
  <c r="P215" i="4"/>
  <c r="O215" i="4"/>
  <c r="N215" i="4"/>
  <c r="L215" i="4"/>
  <c r="K215" i="4"/>
  <c r="J215" i="4"/>
  <c r="I215" i="4"/>
  <c r="H215" i="4"/>
  <c r="G215" i="4"/>
  <c r="F215" i="4"/>
  <c r="E215" i="4"/>
  <c r="D215" i="4"/>
  <c r="C215" i="4"/>
  <c r="B215" i="4"/>
  <c r="A215" i="4"/>
  <c r="Q214" i="4"/>
  <c r="P214" i="4"/>
  <c r="O214" i="4"/>
  <c r="N214" i="4"/>
  <c r="L214" i="4"/>
  <c r="K214" i="4"/>
  <c r="J214" i="4"/>
  <c r="I214" i="4"/>
  <c r="H214" i="4"/>
  <c r="G214" i="4"/>
  <c r="F214" i="4"/>
  <c r="E214" i="4"/>
  <c r="D214" i="4"/>
  <c r="C214" i="4"/>
  <c r="B214" i="4"/>
  <c r="A214" i="4"/>
  <c r="Q213" i="4"/>
  <c r="P213" i="4"/>
  <c r="O213" i="4"/>
  <c r="N213" i="4"/>
  <c r="L213" i="4"/>
  <c r="K213" i="4"/>
  <c r="J213" i="4"/>
  <c r="I213" i="4"/>
  <c r="H213" i="4"/>
  <c r="G213" i="4"/>
  <c r="F213" i="4"/>
  <c r="E213" i="4"/>
  <c r="D213" i="4"/>
  <c r="C213" i="4"/>
  <c r="B213" i="4"/>
  <c r="A213" i="4"/>
  <c r="Q212" i="4"/>
  <c r="P212" i="4"/>
  <c r="O212" i="4"/>
  <c r="N212" i="4"/>
  <c r="L212" i="4"/>
  <c r="K212" i="4"/>
  <c r="J212" i="4"/>
  <c r="I212" i="4"/>
  <c r="H212" i="4"/>
  <c r="G212" i="4"/>
  <c r="F212" i="4"/>
  <c r="E212" i="4"/>
  <c r="D212" i="4"/>
  <c r="C212" i="4"/>
  <c r="B212" i="4"/>
  <c r="A212" i="4"/>
  <c r="Q211" i="4"/>
  <c r="P211" i="4"/>
  <c r="O211" i="4"/>
  <c r="N211" i="4"/>
  <c r="L211" i="4"/>
  <c r="K211" i="4"/>
  <c r="J211" i="4"/>
  <c r="I211" i="4"/>
  <c r="H211" i="4"/>
  <c r="G211" i="4"/>
  <c r="F211" i="4"/>
  <c r="E211" i="4"/>
  <c r="D211" i="4"/>
  <c r="C211" i="4"/>
  <c r="B211" i="4"/>
  <c r="A211" i="4"/>
  <c r="Q210" i="4"/>
  <c r="P210" i="4"/>
  <c r="O210" i="4"/>
  <c r="N210" i="4"/>
  <c r="L210" i="4"/>
  <c r="K210" i="4"/>
  <c r="J210" i="4"/>
  <c r="I210" i="4"/>
  <c r="H210" i="4"/>
  <c r="G210" i="4"/>
  <c r="F210" i="4"/>
  <c r="E210" i="4"/>
  <c r="D210" i="4"/>
  <c r="C210" i="4"/>
  <c r="B210" i="4"/>
  <c r="A210" i="4"/>
  <c r="Q209" i="4"/>
  <c r="P209" i="4"/>
  <c r="O209" i="4"/>
  <c r="N209" i="4"/>
  <c r="L209" i="4"/>
  <c r="K209" i="4"/>
  <c r="J209" i="4"/>
  <c r="I209" i="4"/>
  <c r="H209" i="4"/>
  <c r="G209" i="4"/>
  <c r="F209" i="4"/>
  <c r="E209" i="4"/>
  <c r="D209" i="4"/>
  <c r="C209" i="4"/>
  <c r="B209" i="4"/>
  <c r="A209" i="4"/>
  <c r="Q208" i="4"/>
  <c r="P208" i="4"/>
  <c r="O208" i="4"/>
  <c r="N208" i="4"/>
  <c r="L208" i="4"/>
  <c r="K208" i="4"/>
  <c r="J208" i="4"/>
  <c r="I208" i="4"/>
  <c r="H208" i="4"/>
  <c r="G208" i="4"/>
  <c r="F208" i="4"/>
  <c r="E208" i="4"/>
  <c r="D208" i="4"/>
  <c r="C208" i="4"/>
  <c r="B208" i="4"/>
  <c r="A208" i="4"/>
  <c r="Q207" i="4"/>
  <c r="P207" i="4"/>
  <c r="O207" i="4"/>
  <c r="N207" i="4"/>
  <c r="L207" i="4"/>
  <c r="K207" i="4"/>
  <c r="J207" i="4"/>
  <c r="I207" i="4"/>
  <c r="H207" i="4"/>
  <c r="G207" i="4"/>
  <c r="F207" i="4"/>
  <c r="E207" i="4"/>
  <c r="D207" i="4"/>
  <c r="C207" i="4"/>
  <c r="B207" i="4"/>
  <c r="A207" i="4"/>
  <c r="Q206" i="4"/>
  <c r="P206" i="4"/>
  <c r="O206" i="4"/>
  <c r="N206" i="4"/>
  <c r="L206" i="4"/>
  <c r="K206" i="4"/>
  <c r="J206" i="4"/>
  <c r="I206" i="4"/>
  <c r="H206" i="4"/>
  <c r="G206" i="4"/>
  <c r="F206" i="4"/>
  <c r="E206" i="4"/>
  <c r="D206" i="4"/>
  <c r="C206" i="4"/>
  <c r="B206" i="4"/>
  <c r="A206" i="4"/>
  <c r="Q205" i="4"/>
  <c r="P205" i="4"/>
  <c r="O205" i="4"/>
  <c r="N205" i="4"/>
  <c r="L205" i="4"/>
  <c r="K205" i="4"/>
  <c r="J205" i="4"/>
  <c r="I205" i="4"/>
  <c r="H205" i="4"/>
  <c r="G205" i="4"/>
  <c r="F205" i="4"/>
  <c r="E205" i="4"/>
  <c r="D205" i="4"/>
  <c r="C205" i="4"/>
  <c r="B205" i="4"/>
  <c r="A205" i="4"/>
  <c r="Q204" i="4"/>
  <c r="P204" i="4"/>
  <c r="O204" i="4"/>
  <c r="N204" i="4"/>
  <c r="L204" i="4"/>
  <c r="K204" i="4"/>
  <c r="J204" i="4"/>
  <c r="I204" i="4"/>
  <c r="H204" i="4"/>
  <c r="G204" i="4"/>
  <c r="F204" i="4"/>
  <c r="E204" i="4"/>
  <c r="D204" i="4"/>
  <c r="C204" i="4"/>
  <c r="B204" i="4"/>
  <c r="A204" i="4"/>
  <c r="Q203" i="4"/>
  <c r="P203" i="4"/>
  <c r="O203" i="4"/>
  <c r="N203" i="4"/>
  <c r="L203" i="4"/>
  <c r="K203" i="4"/>
  <c r="J203" i="4"/>
  <c r="I203" i="4"/>
  <c r="H203" i="4"/>
  <c r="G203" i="4"/>
  <c r="F203" i="4"/>
  <c r="E203" i="4"/>
  <c r="D203" i="4"/>
  <c r="C203" i="4"/>
  <c r="B203" i="4"/>
  <c r="A203" i="4"/>
  <c r="Q202" i="4"/>
  <c r="P202" i="4"/>
  <c r="O202" i="4"/>
  <c r="N202" i="4"/>
  <c r="L202" i="4"/>
  <c r="K202" i="4"/>
  <c r="J202" i="4"/>
  <c r="I202" i="4"/>
  <c r="H202" i="4"/>
  <c r="G202" i="4"/>
  <c r="F202" i="4"/>
  <c r="E202" i="4"/>
  <c r="D202" i="4"/>
  <c r="C202" i="4"/>
  <c r="B202" i="4"/>
  <c r="A202" i="4"/>
  <c r="Q201" i="4"/>
  <c r="P201" i="4"/>
  <c r="O201" i="4"/>
  <c r="N201" i="4"/>
  <c r="L201" i="4"/>
  <c r="K201" i="4"/>
  <c r="J201" i="4"/>
  <c r="I201" i="4"/>
  <c r="H201" i="4"/>
  <c r="G201" i="4"/>
  <c r="F201" i="4"/>
  <c r="E201" i="4"/>
  <c r="D201" i="4"/>
  <c r="C201" i="4"/>
  <c r="B201" i="4"/>
  <c r="A201" i="4"/>
  <c r="Q200" i="4"/>
  <c r="P200" i="4"/>
  <c r="O200" i="4"/>
  <c r="N200" i="4"/>
  <c r="L200" i="4"/>
  <c r="K200" i="4"/>
  <c r="J200" i="4"/>
  <c r="I200" i="4"/>
  <c r="H200" i="4"/>
  <c r="G200" i="4"/>
  <c r="F200" i="4"/>
  <c r="E200" i="4"/>
  <c r="D200" i="4"/>
  <c r="C200" i="4"/>
  <c r="B200" i="4"/>
  <c r="A200" i="4"/>
  <c r="Q199" i="4"/>
  <c r="P199" i="4"/>
  <c r="O199" i="4"/>
  <c r="N199" i="4"/>
  <c r="L199" i="4"/>
  <c r="K199" i="4"/>
  <c r="J199" i="4"/>
  <c r="I199" i="4"/>
  <c r="H199" i="4"/>
  <c r="G199" i="4"/>
  <c r="F199" i="4"/>
  <c r="E199" i="4"/>
  <c r="D199" i="4"/>
  <c r="C199" i="4"/>
  <c r="B199" i="4"/>
  <c r="A199" i="4"/>
  <c r="Q198" i="4"/>
  <c r="P198" i="4"/>
  <c r="O198" i="4"/>
  <c r="N198" i="4"/>
  <c r="L198" i="4"/>
  <c r="K198" i="4"/>
  <c r="J198" i="4"/>
  <c r="I198" i="4"/>
  <c r="H198" i="4"/>
  <c r="G198" i="4"/>
  <c r="F198" i="4"/>
  <c r="E198" i="4"/>
  <c r="D198" i="4"/>
  <c r="C198" i="4"/>
  <c r="B198" i="4"/>
  <c r="A198" i="4"/>
  <c r="Q197" i="4"/>
  <c r="P197" i="4"/>
  <c r="O197" i="4"/>
  <c r="N197" i="4"/>
  <c r="L197" i="4"/>
  <c r="K197" i="4"/>
  <c r="J197" i="4"/>
  <c r="I197" i="4"/>
  <c r="H197" i="4"/>
  <c r="G197" i="4"/>
  <c r="F197" i="4"/>
  <c r="E197" i="4"/>
  <c r="D197" i="4"/>
  <c r="C197" i="4"/>
  <c r="B197" i="4"/>
  <c r="A197" i="4"/>
  <c r="Q196" i="4"/>
  <c r="P196" i="4"/>
  <c r="O196" i="4"/>
  <c r="N196" i="4"/>
  <c r="L196" i="4"/>
  <c r="K196" i="4"/>
  <c r="J196" i="4"/>
  <c r="I196" i="4"/>
  <c r="H196" i="4"/>
  <c r="G196" i="4"/>
  <c r="F196" i="4"/>
  <c r="E196" i="4"/>
  <c r="D196" i="4"/>
  <c r="C196" i="4"/>
  <c r="B196" i="4"/>
  <c r="A196" i="4"/>
  <c r="Q195" i="4"/>
  <c r="P195" i="4"/>
  <c r="O195" i="4"/>
  <c r="N195" i="4"/>
  <c r="L195" i="4"/>
  <c r="K195" i="4"/>
  <c r="J195" i="4"/>
  <c r="I195" i="4"/>
  <c r="H195" i="4"/>
  <c r="G195" i="4"/>
  <c r="F195" i="4"/>
  <c r="E195" i="4"/>
  <c r="D195" i="4"/>
  <c r="C195" i="4"/>
  <c r="B195" i="4"/>
  <c r="A195" i="4"/>
  <c r="Q194" i="4"/>
  <c r="P194" i="4"/>
  <c r="O194" i="4"/>
  <c r="N194" i="4"/>
  <c r="L194" i="4"/>
  <c r="K194" i="4"/>
  <c r="J194" i="4"/>
  <c r="I194" i="4"/>
  <c r="H194" i="4"/>
  <c r="G194" i="4"/>
  <c r="F194" i="4"/>
  <c r="E194" i="4"/>
  <c r="D194" i="4"/>
  <c r="C194" i="4"/>
  <c r="B194" i="4"/>
  <c r="A194" i="4"/>
  <c r="Q193" i="4"/>
  <c r="P193" i="4"/>
  <c r="O193" i="4"/>
  <c r="N193" i="4"/>
  <c r="L193" i="4"/>
  <c r="K193" i="4"/>
  <c r="J193" i="4"/>
  <c r="I193" i="4"/>
  <c r="H193" i="4"/>
  <c r="G193" i="4"/>
  <c r="F193" i="4"/>
  <c r="E193" i="4"/>
  <c r="D193" i="4"/>
  <c r="C193" i="4"/>
  <c r="B193" i="4"/>
  <c r="A193" i="4"/>
  <c r="Q192" i="4"/>
  <c r="P192" i="4"/>
  <c r="O192" i="4"/>
  <c r="N192" i="4"/>
  <c r="L192" i="4"/>
  <c r="K192" i="4"/>
  <c r="J192" i="4"/>
  <c r="I192" i="4"/>
  <c r="H192" i="4"/>
  <c r="G192" i="4"/>
  <c r="F192" i="4"/>
  <c r="E192" i="4"/>
  <c r="D192" i="4"/>
  <c r="C192" i="4"/>
  <c r="B192" i="4"/>
  <c r="A192" i="4"/>
  <c r="Q191" i="4"/>
  <c r="P191" i="4"/>
  <c r="O191" i="4"/>
  <c r="N191" i="4"/>
  <c r="L191" i="4"/>
  <c r="K191" i="4"/>
  <c r="J191" i="4"/>
  <c r="I191" i="4"/>
  <c r="H191" i="4"/>
  <c r="G191" i="4"/>
  <c r="F191" i="4"/>
  <c r="E191" i="4"/>
  <c r="D191" i="4"/>
  <c r="C191" i="4"/>
  <c r="B191" i="4"/>
  <c r="A191" i="4"/>
  <c r="Q190" i="4"/>
  <c r="P190" i="4"/>
  <c r="O190" i="4"/>
  <c r="N190" i="4"/>
  <c r="L190" i="4"/>
  <c r="K190" i="4"/>
  <c r="J190" i="4"/>
  <c r="I190" i="4"/>
  <c r="H190" i="4"/>
  <c r="G190" i="4"/>
  <c r="F190" i="4"/>
  <c r="E190" i="4"/>
  <c r="D190" i="4"/>
  <c r="C190" i="4"/>
  <c r="B190" i="4"/>
  <c r="A190" i="4"/>
  <c r="Q189" i="4"/>
  <c r="P189" i="4"/>
  <c r="O189" i="4"/>
  <c r="N189" i="4"/>
  <c r="L189" i="4"/>
  <c r="K189" i="4"/>
  <c r="J189" i="4"/>
  <c r="I189" i="4"/>
  <c r="H189" i="4"/>
  <c r="G189" i="4"/>
  <c r="F189" i="4"/>
  <c r="E189" i="4"/>
  <c r="D189" i="4"/>
  <c r="C189" i="4"/>
  <c r="B189" i="4"/>
  <c r="A189" i="4"/>
  <c r="Q188" i="4"/>
  <c r="P188" i="4"/>
  <c r="O188" i="4"/>
  <c r="N188" i="4"/>
  <c r="L188" i="4"/>
  <c r="K188" i="4"/>
  <c r="J188" i="4"/>
  <c r="I188" i="4"/>
  <c r="H188" i="4"/>
  <c r="G188" i="4"/>
  <c r="F188" i="4"/>
  <c r="E188" i="4"/>
  <c r="D188" i="4"/>
  <c r="C188" i="4"/>
  <c r="B188" i="4"/>
  <c r="A188" i="4"/>
  <c r="Q187" i="4"/>
  <c r="P187" i="4"/>
  <c r="O187" i="4"/>
  <c r="N187" i="4"/>
  <c r="L187" i="4"/>
  <c r="K187" i="4"/>
  <c r="J187" i="4"/>
  <c r="I187" i="4"/>
  <c r="H187" i="4"/>
  <c r="G187" i="4"/>
  <c r="F187" i="4"/>
  <c r="E187" i="4"/>
  <c r="D187" i="4"/>
  <c r="C187" i="4"/>
  <c r="B187" i="4"/>
  <c r="A187" i="4"/>
  <c r="Q186" i="4"/>
  <c r="P186" i="4"/>
  <c r="O186" i="4"/>
  <c r="N186" i="4"/>
  <c r="L186" i="4"/>
  <c r="K186" i="4"/>
  <c r="J186" i="4"/>
  <c r="I186" i="4"/>
  <c r="H186" i="4"/>
  <c r="G186" i="4"/>
  <c r="F186" i="4"/>
  <c r="E186" i="4"/>
  <c r="D186" i="4"/>
  <c r="C186" i="4"/>
  <c r="B186" i="4"/>
  <c r="A186" i="4"/>
  <c r="Q185" i="4"/>
  <c r="P185" i="4"/>
  <c r="O185" i="4"/>
  <c r="N185" i="4"/>
  <c r="L185" i="4"/>
  <c r="K185" i="4"/>
  <c r="J185" i="4"/>
  <c r="I185" i="4"/>
  <c r="H185" i="4"/>
  <c r="G185" i="4"/>
  <c r="F185" i="4"/>
  <c r="E185" i="4"/>
  <c r="D185" i="4"/>
  <c r="C185" i="4"/>
  <c r="B185" i="4"/>
  <c r="A185" i="4"/>
  <c r="Q184" i="4"/>
  <c r="P184" i="4"/>
  <c r="O184" i="4"/>
  <c r="N184" i="4"/>
  <c r="L184" i="4"/>
  <c r="K184" i="4"/>
  <c r="J184" i="4"/>
  <c r="I184" i="4"/>
  <c r="H184" i="4"/>
  <c r="G184" i="4"/>
  <c r="F184" i="4"/>
  <c r="E184" i="4"/>
  <c r="D184" i="4"/>
  <c r="C184" i="4"/>
  <c r="B184" i="4"/>
  <c r="A184" i="4"/>
  <c r="Q183" i="4"/>
  <c r="P183" i="4"/>
  <c r="O183" i="4"/>
  <c r="N183" i="4"/>
  <c r="L183" i="4"/>
  <c r="K183" i="4"/>
  <c r="J183" i="4"/>
  <c r="I183" i="4"/>
  <c r="H183" i="4"/>
  <c r="G183" i="4"/>
  <c r="F183" i="4"/>
  <c r="E183" i="4"/>
  <c r="D183" i="4"/>
  <c r="C183" i="4"/>
  <c r="B183" i="4"/>
  <c r="A183" i="4"/>
  <c r="Q182" i="4"/>
  <c r="P182" i="4"/>
  <c r="O182" i="4"/>
  <c r="N182" i="4"/>
  <c r="L182" i="4"/>
  <c r="K182" i="4"/>
  <c r="J182" i="4"/>
  <c r="I182" i="4"/>
  <c r="H182" i="4"/>
  <c r="G182" i="4"/>
  <c r="F182" i="4"/>
  <c r="E182" i="4"/>
  <c r="D182" i="4"/>
  <c r="C182" i="4"/>
  <c r="B182" i="4"/>
  <c r="A182" i="4"/>
  <c r="Q181" i="4"/>
  <c r="P181" i="4"/>
  <c r="O181" i="4"/>
  <c r="N181" i="4"/>
  <c r="L181" i="4"/>
  <c r="K181" i="4"/>
  <c r="J181" i="4"/>
  <c r="I181" i="4"/>
  <c r="H181" i="4"/>
  <c r="G181" i="4"/>
  <c r="F181" i="4"/>
  <c r="E181" i="4"/>
  <c r="D181" i="4"/>
  <c r="C181" i="4"/>
  <c r="B181" i="4"/>
  <c r="A181" i="4"/>
  <c r="Q180" i="4"/>
  <c r="P180" i="4"/>
  <c r="O180" i="4"/>
  <c r="N180" i="4"/>
  <c r="L180" i="4"/>
  <c r="K180" i="4"/>
  <c r="J180" i="4"/>
  <c r="I180" i="4"/>
  <c r="H180" i="4"/>
  <c r="G180" i="4"/>
  <c r="F180" i="4"/>
  <c r="E180" i="4"/>
  <c r="D180" i="4"/>
  <c r="C180" i="4"/>
  <c r="B180" i="4"/>
  <c r="A180" i="4"/>
  <c r="Q179" i="4"/>
  <c r="P179" i="4"/>
  <c r="O179" i="4"/>
  <c r="N179" i="4"/>
  <c r="L179" i="4"/>
  <c r="K179" i="4"/>
  <c r="J179" i="4"/>
  <c r="I179" i="4"/>
  <c r="H179" i="4"/>
  <c r="G179" i="4"/>
  <c r="F179" i="4"/>
  <c r="E179" i="4"/>
  <c r="D179" i="4"/>
  <c r="C179" i="4"/>
  <c r="B179" i="4"/>
  <c r="A179" i="4"/>
  <c r="Q178" i="4"/>
  <c r="P178" i="4"/>
  <c r="O178" i="4"/>
  <c r="N178" i="4"/>
  <c r="L178" i="4"/>
  <c r="K178" i="4"/>
  <c r="J178" i="4"/>
  <c r="I178" i="4"/>
  <c r="H178" i="4"/>
  <c r="G178" i="4"/>
  <c r="F178" i="4"/>
  <c r="E178" i="4"/>
  <c r="D178" i="4"/>
  <c r="C178" i="4"/>
  <c r="B178" i="4"/>
  <c r="A178" i="4"/>
  <c r="Q177" i="4"/>
  <c r="P177" i="4"/>
  <c r="O177" i="4"/>
  <c r="N177" i="4"/>
  <c r="L177" i="4"/>
  <c r="K177" i="4"/>
  <c r="J177" i="4"/>
  <c r="I177" i="4"/>
  <c r="H177" i="4"/>
  <c r="G177" i="4"/>
  <c r="F177" i="4"/>
  <c r="E177" i="4"/>
  <c r="D177" i="4"/>
  <c r="C177" i="4"/>
  <c r="B177" i="4"/>
  <c r="A177" i="4"/>
  <c r="Q176" i="4"/>
  <c r="P176" i="4"/>
  <c r="O176" i="4"/>
  <c r="N176" i="4"/>
  <c r="L176" i="4"/>
  <c r="K176" i="4"/>
  <c r="J176" i="4"/>
  <c r="I176" i="4"/>
  <c r="H176" i="4"/>
  <c r="G176" i="4"/>
  <c r="F176" i="4"/>
  <c r="E176" i="4"/>
  <c r="D176" i="4"/>
  <c r="C176" i="4"/>
  <c r="B176" i="4"/>
  <c r="A176" i="4"/>
  <c r="Q175" i="4"/>
  <c r="P175" i="4"/>
  <c r="O175" i="4"/>
  <c r="N175" i="4"/>
  <c r="L175" i="4"/>
  <c r="K175" i="4"/>
  <c r="J175" i="4"/>
  <c r="I175" i="4"/>
  <c r="H175" i="4"/>
  <c r="G175" i="4"/>
  <c r="F175" i="4"/>
  <c r="E175" i="4"/>
  <c r="D175" i="4"/>
  <c r="C175" i="4"/>
  <c r="B175" i="4"/>
  <c r="A175" i="4"/>
  <c r="Q174" i="4"/>
  <c r="P174" i="4"/>
  <c r="O174" i="4"/>
  <c r="N174" i="4"/>
  <c r="L174" i="4"/>
  <c r="K174" i="4"/>
  <c r="J174" i="4"/>
  <c r="I174" i="4"/>
  <c r="H174" i="4"/>
  <c r="G174" i="4"/>
  <c r="F174" i="4"/>
  <c r="E174" i="4"/>
  <c r="D174" i="4"/>
  <c r="C174" i="4"/>
  <c r="B174" i="4"/>
  <c r="A174" i="4"/>
  <c r="Q173" i="4"/>
  <c r="P173" i="4"/>
  <c r="O173" i="4"/>
  <c r="N173" i="4"/>
  <c r="L173" i="4"/>
  <c r="K173" i="4"/>
  <c r="J173" i="4"/>
  <c r="I173" i="4"/>
  <c r="H173" i="4"/>
  <c r="G173" i="4"/>
  <c r="F173" i="4"/>
  <c r="E173" i="4"/>
  <c r="D173" i="4"/>
  <c r="C173" i="4"/>
  <c r="B173" i="4"/>
  <c r="A173" i="4"/>
  <c r="Q172" i="4"/>
  <c r="P172" i="4"/>
  <c r="O172" i="4"/>
  <c r="N172" i="4"/>
  <c r="L172" i="4"/>
  <c r="K172" i="4"/>
  <c r="J172" i="4"/>
  <c r="I172" i="4"/>
  <c r="H172" i="4"/>
  <c r="G172" i="4"/>
  <c r="F172" i="4"/>
  <c r="E172" i="4"/>
  <c r="D172" i="4"/>
  <c r="C172" i="4"/>
  <c r="B172" i="4"/>
  <c r="A172" i="4"/>
  <c r="Q171" i="4"/>
  <c r="P171" i="4"/>
  <c r="O171" i="4"/>
  <c r="N171" i="4"/>
  <c r="L171" i="4"/>
  <c r="K171" i="4"/>
  <c r="J171" i="4"/>
  <c r="I171" i="4"/>
  <c r="H171" i="4"/>
  <c r="G171" i="4"/>
  <c r="F171" i="4"/>
  <c r="E171" i="4"/>
  <c r="D171" i="4"/>
  <c r="C171" i="4"/>
  <c r="B171" i="4"/>
  <c r="A171" i="4"/>
  <c r="Q170" i="4"/>
  <c r="P170" i="4"/>
  <c r="O170" i="4"/>
  <c r="N170" i="4"/>
  <c r="L170" i="4"/>
  <c r="K170" i="4"/>
  <c r="J170" i="4"/>
  <c r="I170" i="4"/>
  <c r="H170" i="4"/>
  <c r="G170" i="4"/>
  <c r="F170" i="4"/>
  <c r="E170" i="4"/>
  <c r="D170" i="4"/>
  <c r="C170" i="4"/>
  <c r="B170" i="4"/>
  <c r="A170" i="4"/>
  <c r="Q169" i="4"/>
  <c r="P169" i="4"/>
  <c r="O169" i="4"/>
  <c r="N169" i="4"/>
  <c r="L169" i="4"/>
  <c r="K169" i="4"/>
  <c r="J169" i="4"/>
  <c r="I169" i="4"/>
  <c r="H169" i="4"/>
  <c r="G169" i="4"/>
  <c r="F169" i="4"/>
  <c r="E169" i="4"/>
  <c r="D169" i="4"/>
  <c r="C169" i="4"/>
  <c r="B169" i="4"/>
  <c r="A169" i="4"/>
  <c r="Q168" i="4"/>
  <c r="P168" i="4"/>
  <c r="O168" i="4"/>
  <c r="N168" i="4"/>
  <c r="L168" i="4"/>
  <c r="K168" i="4"/>
  <c r="J168" i="4"/>
  <c r="I168" i="4"/>
  <c r="H168" i="4"/>
  <c r="G168" i="4"/>
  <c r="F168" i="4"/>
  <c r="E168" i="4"/>
  <c r="D168" i="4"/>
  <c r="C168" i="4"/>
  <c r="B168" i="4"/>
  <c r="A168" i="4"/>
  <c r="Q167" i="4"/>
  <c r="P167" i="4"/>
  <c r="O167" i="4"/>
  <c r="N167" i="4"/>
  <c r="L167" i="4"/>
  <c r="K167" i="4"/>
  <c r="J167" i="4"/>
  <c r="I167" i="4"/>
  <c r="H167" i="4"/>
  <c r="G167" i="4"/>
  <c r="F167" i="4"/>
  <c r="E167" i="4"/>
  <c r="D167" i="4"/>
  <c r="C167" i="4"/>
  <c r="B167" i="4"/>
  <c r="A167" i="4"/>
  <c r="Q166" i="4"/>
  <c r="P166" i="4"/>
  <c r="O166" i="4"/>
  <c r="N166" i="4"/>
  <c r="L166" i="4"/>
  <c r="K166" i="4"/>
  <c r="J166" i="4"/>
  <c r="I166" i="4"/>
  <c r="H166" i="4"/>
  <c r="G166" i="4"/>
  <c r="F166" i="4"/>
  <c r="E166" i="4"/>
  <c r="D166" i="4"/>
  <c r="C166" i="4"/>
  <c r="B166" i="4"/>
  <c r="A166" i="4"/>
  <c r="Q165" i="4"/>
  <c r="P165" i="4"/>
  <c r="O165" i="4"/>
  <c r="N165" i="4"/>
  <c r="L165" i="4"/>
  <c r="K165" i="4"/>
  <c r="J165" i="4"/>
  <c r="I165" i="4"/>
  <c r="H165" i="4"/>
  <c r="G165" i="4"/>
  <c r="F165" i="4"/>
  <c r="E165" i="4"/>
  <c r="D165" i="4"/>
  <c r="C165" i="4"/>
  <c r="B165" i="4"/>
  <c r="A165" i="4"/>
  <c r="Q164" i="4"/>
  <c r="P164" i="4"/>
  <c r="O164" i="4"/>
  <c r="N164" i="4"/>
  <c r="L164" i="4"/>
  <c r="K164" i="4"/>
  <c r="J164" i="4"/>
  <c r="I164" i="4"/>
  <c r="H164" i="4"/>
  <c r="G164" i="4"/>
  <c r="F164" i="4"/>
  <c r="E164" i="4"/>
  <c r="D164" i="4"/>
  <c r="C164" i="4"/>
  <c r="B164" i="4"/>
  <c r="A164" i="4"/>
  <c r="Q163" i="4"/>
  <c r="P163" i="4"/>
  <c r="O163" i="4"/>
  <c r="N163" i="4"/>
  <c r="L163" i="4"/>
  <c r="K163" i="4"/>
  <c r="J163" i="4"/>
  <c r="I163" i="4"/>
  <c r="H163" i="4"/>
  <c r="G163" i="4"/>
  <c r="F163" i="4"/>
  <c r="E163" i="4"/>
  <c r="D163" i="4"/>
  <c r="C163" i="4"/>
  <c r="B163" i="4"/>
  <c r="A163" i="4"/>
  <c r="Q162" i="4"/>
  <c r="P162" i="4"/>
  <c r="O162" i="4"/>
  <c r="N162" i="4"/>
  <c r="L162" i="4"/>
  <c r="K162" i="4"/>
  <c r="J162" i="4"/>
  <c r="I162" i="4"/>
  <c r="H162" i="4"/>
  <c r="G162" i="4"/>
  <c r="F162" i="4"/>
  <c r="E162" i="4"/>
  <c r="D162" i="4"/>
  <c r="C162" i="4"/>
  <c r="B162" i="4"/>
  <c r="A162" i="4"/>
  <c r="Q161" i="4"/>
  <c r="P161" i="4"/>
  <c r="O161" i="4"/>
  <c r="N161" i="4"/>
  <c r="L161" i="4"/>
  <c r="K161" i="4"/>
  <c r="J161" i="4"/>
  <c r="I161" i="4"/>
  <c r="H161" i="4"/>
  <c r="G161" i="4"/>
  <c r="F161" i="4"/>
  <c r="E161" i="4"/>
  <c r="D161" i="4"/>
  <c r="C161" i="4"/>
  <c r="B161" i="4"/>
  <c r="A161" i="4"/>
  <c r="Q160" i="4"/>
  <c r="P160" i="4"/>
  <c r="O160" i="4"/>
  <c r="N160" i="4"/>
  <c r="L160" i="4"/>
  <c r="K160" i="4"/>
  <c r="J160" i="4"/>
  <c r="I160" i="4"/>
  <c r="H160" i="4"/>
  <c r="G160" i="4"/>
  <c r="F160" i="4"/>
  <c r="E160" i="4"/>
  <c r="D160" i="4"/>
  <c r="C160" i="4"/>
  <c r="B160" i="4"/>
  <c r="A160" i="4"/>
  <c r="Q159" i="4"/>
  <c r="P159" i="4"/>
  <c r="O159" i="4"/>
  <c r="N159" i="4"/>
  <c r="L159" i="4"/>
  <c r="K159" i="4"/>
  <c r="J159" i="4"/>
  <c r="I159" i="4"/>
  <c r="H159" i="4"/>
  <c r="G159" i="4"/>
  <c r="F159" i="4"/>
  <c r="E159" i="4"/>
  <c r="D159" i="4"/>
  <c r="C159" i="4"/>
  <c r="B159" i="4"/>
  <c r="A159" i="4"/>
  <c r="Q158" i="4"/>
  <c r="P158" i="4"/>
  <c r="O158" i="4"/>
  <c r="N158" i="4"/>
  <c r="L158" i="4"/>
  <c r="K158" i="4"/>
  <c r="J158" i="4"/>
  <c r="I158" i="4"/>
  <c r="H158" i="4"/>
  <c r="G158" i="4"/>
  <c r="F158" i="4"/>
  <c r="E158" i="4"/>
  <c r="D158" i="4"/>
  <c r="C158" i="4"/>
  <c r="B158" i="4"/>
  <c r="A158" i="4"/>
  <c r="Q157" i="4"/>
  <c r="P157" i="4"/>
  <c r="O157" i="4"/>
  <c r="N157" i="4"/>
  <c r="L157" i="4"/>
  <c r="K157" i="4"/>
  <c r="J157" i="4"/>
  <c r="I157" i="4"/>
  <c r="H157" i="4"/>
  <c r="G157" i="4"/>
  <c r="F157" i="4"/>
  <c r="E157" i="4"/>
  <c r="D157" i="4"/>
  <c r="C157" i="4"/>
  <c r="B157" i="4"/>
  <c r="A157" i="4"/>
  <c r="Q156" i="4"/>
  <c r="P156" i="4"/>
  <c r="O156" i="4"/>
  <c r="N156" i="4"/>
  <c r="L156" i="4"/>
  <c r="K156" i="4"/>
  <c r="J156" i="4"/>
  <c r="I156" i="4"/>
  <c r="H156" i="4"/>
  <c r="G156" i="4"/>
  <c r="F156" i="4"/>
  <c r="E156" i="4"/>
  <c r="D156" i="4"/>
  <c r="C156" i="4"/>
  <c r="B156" i="4"/>
  <c r="A156" i="4"/>
  <c r="Q155" i="4"/>
  <c r="P155" i="4"/>
  <c r="O155" i="4"/>
  <c r="N155" i="4"/>
  <c r="L155" i="4"/>
  <c r="K155" i="4"/>
  <c r="J155" i="4"/>
  <c r="I155" i="4"/>
  <c r="H155" i="4"/>
  <c r="G155" i="4"/>
  <c r="F155" i="4"/>
  <c r="E155" i="4"/>
  <c r="D155" i="4"/>
  <c r="C155" i="4"/>
  <c r="B155" i="4"/>
  <c r="A155" i="4"/>
  <c r="Q154" i="4"/>
  <c r="P154" i="4"/>
  <c r="O154" i="4"/>
  <c r="N154" i="4"/>
  <c r="L154" i="4"/>
  <c r="K154" i="4"/>
  <c r="J154" i="4"/>
  <c r="I154" i="4"/>
  <c r="H154" i="4"/>
  <c r="G154" i="4"/>
  <c r="F154" i="4"/>
  <c r="E154" i="4"/>
  <c r="D154" i="4"/>
  <c r="C154" i="4"/>
  <c r="B154" i="4"/>
  <c r="A154" i="4"/>
  <c r="Q153" i="4"/>
  <c r="P153" i="4"/>
  <c r="O153" i="4"/>
  <c r="N153" i="4"/>
  <c r="L153" i="4"/>
  <c r="K153" i="4"/>
  <c r="J153" i="4"/>
  <c r="I153" i="4"/>
  <c r="H153" i="4"/>
  <c r="G153" i="4"/>
  <c r="F153" i="4"/>
  <c r="E153" i="4"/>
  <c r="D153" i="4"/>
  <c r="C153" i="4"/>
  <c r="B153" i="4"/>
  <c r="A153" i="4"/>
  <c r="Q152" i="4"/>
  <c r="P152" i="4"/>
  <c r="O152" i="4"/>
  <c r="N152" i="4"/>
  <c r="L152" i="4"/>
  <c r="K152" i="4"/>
  <c r="J152" i="4"/>
  <c r="I152" i="4"/>
  <c r="H152" i="4"/>
  <c r="G152" i="4"/>
  <c r="F152" i="4"/>
  <c r="E152" i="4"/>
  <c r="D152" i="4"/>
  <c r="C152" i="4"/>
  <c r="B152" i="4"/>
  <c r="A152" i="4"/>
  <c r="Q151" i="4"/>
  <c r="P151" i="4"/>
  <c r="O151" i="4"/>
  <c r="N151" i="4"/>
  <c r="L151" i="4"/>
  <c r="K151" i="4"/>
  <c r="J151" i="4"/>
  <c r="I151" i="4"/>
  <c r="H151" i="4"/>
  <c r="G151" i="4"/>
  <c r="F151" i="4"/>
  <c r="E151" i="4"/>
  <c r="D151" i="4"/>
  <c r="C151" i="4"/>
  <c r="B151" i="4"/>
  <c r="A151" i="4"/>
  <c r="Q150" i="4"/>
  <c r="P150" i="4"/>
  <c r="O150" i="4"/>
  <c r="N150" i="4"/>
  <c r="L150" i="4"/>
  <c r="K150" i="4"/>
  <c r="J150" i="4"/>
  <c r="I150" i="4"/>
  <c r="H150" i="4"/>
  <c r="G150" i="4"/>
  <c r="F150" i="4"/>
  <c r="E150" i="4"/>
  <c r="D150" i="4"/>
  <c r="C150" i="4"/>
  <c r="B150" i="4"/>
  <c r="A150" i="4"/>
  <c r="Q149" i="4"/>
  <c r="P149" i="4"/>
  <c r="O149" i="4"/>
  <c r="N149" i="4"/>
  <c r="L149" i="4"/>
  <c r="K149" i="4"/>
  <c r="J149" i="4"/>
  <c r="I149" i="4"/>
  <c r="H149" i="4"/>
  <c r="G149" i="4"/>
  <c r="F149" i="4"/>
  <c r="E149" i="4"/>
  <c r="D149" i="4"/>
  <c r="C149" i="4"/>
  <c r="B149" i="4"/>
  <c r="A149" i="4"/>
  <c r="Q148" i="4"/>
  <c r="P148" i="4"/>
  <c r="O148" i="4"/>
  <c r="N148" i="4"/>
  <c r="L148" i="4"/>
  <c r="K148" i="4"/>
  <c r="J148" i="4"/>
  <c r="I148" i="4"/>
  <c r="H148" i="4"/>
  <c r="G148" i="4"/>
  <c r="F148" i="4"/>
  <c r="E148" i="4"/>
  <c r="D148" i="4"/>
  <c r="C148" i="4"/>
  <c r="B148" i="4"/>
  <c r="A148" i="4"/>
  <c r="Q147" i="4"/>
  <c r="P147" i="4"/>
  <c r="O147" i="4"/>
  <c r="N147" i="4"/>
  <c r="L147" i="4"/>
  <c r="K147" i="4"/>
  <c r="J147" i="4"/>
  <c r="I147" i="4"/>
  <c r="H147" i="4"/>
  <c r="G147" i="4"/>
  <c r="F147" i="4"/>
  <c r="E147" i="4"/>
  <c r="D147" i="4"/>
  <c r="C147" i="4"/>
  <c r="B147" i="4"/>
  <c r="A147" i="4"/>
  <c r="Q146" i="4"/>
  <c r="P146" i="4"/>
  <c r="O146" i="4"/>
  <c r="N146" i="4"/>
  <c r="L146" i="4"/>
  <c r="K146" i="4"/>
  <c r="J146" i="4"/>
  <c r="I146" i="4"/>
  <c r="H146" i="4"/>
  <c r="G146" i="4"/>
  <c r="F146" i="4"/>
  <c r="E146" i="4"/>
  <c r="D146" i="4"/>
  <c r="C146" i="4"/>
  <c r="B146" i="4"/>
  <c r="A146" i="4"/>
  <c r="Q145" i="4"/>
  <c r="P145" i="4"/>
  <c r="O145" i="4"/>
  <c r="N145" i="4"/>
  <c r="L145" i="4"/>
  <c r="K145" i="4"/>
  <c r="J145" i="4"/>
  <c r="I145" i="4"/>
  <c r="H145" i="4"/>
  <c r="G145" i="4"/>
  <c r="F145" i="4"/>
  <c r="E145" i="4"/>
  <c r="D145" i="4"/>
  <c r="C145" i="4"/>
  <c r="B145" i="4"/>
  <c r="A145" i="4"/>
  <c r="Q144" i="4"/>
  <c r="P144" i="4"/>
  <c r="O144" i="4"/>
  <c r="N144" i="4"/>
  <c r="L144" i="4"/>
  <c r="K144" i="4"/>
  <c r="J144" i="4"/>
  <c r="I144" i="4"/>
  <c r="H144" i="4"/>
  <c r="G144" i="4"/>
  <c r="F144" i="4"/>
  <c r="E144" i="4"/>
  <c r="D144" i="4"/>
  <c r="C144" i="4"/>
  <c r="B144" i="4"/>
  <c r="A144" i="4"/>
  <c r="Q143" i="4"/>
  <c r="P143" i="4"/>
  <c r="O143" i="4"/>
  <c r="N143" i="4"/>
  <c r="L143" i="4"/>
  <c r="K143" i="4"/>
  <c r="J143" i="4"/>
  <c r="I143" i="4"/>
  <c r="H143" i="4"/>
  <c r="G143" i="4"/>
  <c r="F143" i="4"/>
  <c r="E143" i="4"/>
  <c r="D143" i="4"/>
  <c r="C143" i="4"/>
  <c r="B143" i="4"/>
  <c r="A143" i="4"/>
  <c r="Q142" i="4"/>
  <c r="P142" i="4"/>
  <c r="O142" i="4"/>
  <c r="N142" i="4"/>
  <c r="L142" i="4"/>
  <c r="K142" i="4"/>
  <c r="J142" i="4"/>
  <c r="I142" i="4"/>
  <c r="H142" i="4"/>
  <c r="G142" i="4"/>
  <c r="F142" i="4"/>
  <c r="E142" i="4"/>
  <c r="D142" i="4"/>
  <c r="C142" i="4"/>
  <c r="B142" i="4"/>
  <c r="A142" i="4"/>
  <c r="Q141" i="4"/>
  <c r="P141" i="4"/>
  <c r="O141" i="4"/>
  <c r="N141" i="4"/>
  <c r="L141" i="4"/>
  <c r="K141" i="4"/>
  <c r="J141" i="4"/>
  <c r="I141" i="4"/>
  <c r="H141" i="4"/>
  <c r="G141" i="4"/>
  <c r="F141" i="4"/>
  <c r="E141" i="4"/>
  <c r="D141" i="4"/>
  <c r="C141" i="4"/>
  <c r="B141" i="4"/>
  <c r="A141" i="4"/>
  <c r="Q140" i="4"/>
  <c r="P140" i="4"/>
  <c r="O140" i="4"/>
  <c r="N140" i="4"/>
  <c r="L140" i="4"/>
  <c r="K140" i="4"/>
  <c r="J140" i="4"/>
  <c r="I140" i="4"/>
  <c r="H140" i="4"/>
  <c r="G140" i="4"/>
  <c r="F140" i="4"/>
  <c r="E140" i="4"/>
  <c r="D140" i="4"/>
  <c r="C140" i="4"/>
  <c r="B140" i="4"/>
  <c r="A140" i="4"/>
  <c r="Q139" i="4"/>
  <c r="P139" i="4"/>
  <c r="O139" i="4"/>
  <c r="N139" i="4"/>
  <c r="L139" i="4"/>
  <c r="K139" i="4"/>
  <c r="J139" i="4"/>
  <c r="I139" i="4"/>
  <c r="H139" i="4"/>
  <c r="G139" i="4"/>
  <c r="F139" i="4"/>
  <c r="E139" i="4"/>
  <c r="D139" i="4"/>
  <c r="C139" i="4"/>
  <c r="B139" i="4"/>
  <c r="A139" i="4"/>
  <c r="Q138" i="4"/>
  <c r="P138" i="4"/>
  <c r="O138" i="4"/>
  <c r="N138" i="4"/>
  <c r="L138" i="4"/>
  <c r="K138" i="4"/>
  <c r="J138" i="4"/>
  <c r="I138" i="4"/>
  <c r="H138" i="4"/>
  <c r="G138" i="4"/>
  <c r="F138" i="4"/>
  <c r="E138" i="4"/>
  <c r="D138" i="4"/>
  <c r="C138" i="4"/>
  <c r="B138" i="4"/>
  <c r="A138" i="4"/>
  <c r="Q137" i="4"/>
  <c r="P137" i="4"/>
  <c r="O137" i="4"/>
  <c r="N137" i="4"/>
  <c r="L137" i="4"/>
  <c r="K137" i="4"/>
  <c r="J137" i="4"/>
  <c r="I137" i="4"/>
  <c r="H137" i="4"/>
  <c r="G137" i="4"/>
  <c r="F137" i="4"/>
  <c r="E137" i="4"/>
  <c r="D137" i="4"/>
  <c r="C137" i="4"/>
  <c r="B137" i="4"/>
  <c r="A137" i="4"/>
  <c r="Q136" i="4"/>
  <c r="P136" i="4"/>
  <c r="O136" i="4"/>
  <c r="N136" i="4"/>
  <c r="L136" i="4"/>
  <c r="K136" i="4"/>
  <c r="J136" i="4"/>
  <c r="I136" i="4"/>
  <c r="H136" i="4"/>
  <c r="G136" i="4"/>
  <c r="F136" i="4"/>
  <c r="E136" i="4"/>
  <c r="D136" i="4"/>
  <c r="C136" i="4"/>
  <c r="B136" i="4"/>
  <c r="A136" i="4"/>
  <c r="Q135" i="4"/>
  <c r="P135" i="4"/>
  <c r="O135" i="4"/>
  <c r="N135" i="4"/>
  <c r="L135" i="4"/>
  <c r="K135" i="4"/>
  <c r="J135" i="4"/>
  <c r="I135" i="4"/>
  <c r="H135" i="4"/>
  <c r="G135" i="4"/>
  <c r="F135" i="4"/>
  <c r="E135" i="4"/>
  <c r="D135" i="4"/>
  <c r="C135" i="4"/>
  <c r="B135" i="4"/>
  <c r="A135" i="4"/>
  <c r="Q134" i="4"/>
  <c r="P134" i="4"/>
  <c r="O134" i="4"/>
  <c r="N134" i="4"/>
  <c r="L134" i="4"/>
  <c r="K134" i="4"/>
  <c r="J134" i="4"/>
  <c r="I134" i="4"/>
  <c r="H134" i="4"/>
  <c r="G134" i="4"/>
  <c r="F134" i="4"/>
  <c r="E134" i="4"/>
  <c r="D134" i="4"/>
  <c r="C134" i="4"/>
  <c r="B134" i="4"/>
  <c r="A134" i="4"/>
  <c r="Q133" i="4"/>
  <c r="P133" i="4"/>
  <c r="O133" i="4"/>
  <c r="N133" i="4"/>
  <c r="L133" i="4"/>
  <c r="K133" i="4"/>
  <c r="J133" i="4"/>
  <c r="I133" i="4"/>
  <c r="H133" i="4"/>
  <c r="G133" i="4"/>
  <c r="F133" i="4"/>
  <c r="E133" i="4"/>
  <c r="D133" i="4"/>
  <c r="C133" i="4"/>
  <c r="B133" i="4"/>
  <c r="A133" i="4"/>
  <c r="Q132" i="4"/>
  <c r="P132" i="4"/>
  <c r="O132" i="4"/>
  <c r="N132" i="4"/>
  <c r="L132" i="4"/>
  <c r="K132" i="4"/>
  <c r="J132" i="4"/>
  <c r="I132" i="4"/>
  <c r="H132" i="4"/>
  <c r="G132" i="4"/>
  <c r="F132" i="4"/>
  <c r="E132" i="4"/>
  <c r="D132" i="4"/>
  <c r="C132" i="4"/>
  <c r="B132" i="4"/>
  <c r="A132" i="4"/>
  <c r="Q131" i="4"/>
  <c r="P131" i="4"/>
  <c r="O131" i="4"/>
  <c r="N131" i="4"/>
  <c r="L131" i="4"/>
  <c r="K131" i="4"/>
  <c r="J131" i="4"/>
  <c r="I131" i="4"/>
  <c r="H131" i="4"/>
  <c r="G131" i="4"/>
  <c r="F131" i="4"/>
  <c r="E131" i="4"/>
  <c r="D131" i="4"/>
  <c r="C131" i="4"/>
  <c r="B131" i="4"/>
  <c r="A131" i="4"/>
  <c r="Q130" i="4"/>
  <c r="P130" i="4"/>
  <c r="O130" i="4"/>
  <c r="N130" i="4"/>
  <c r="L130" i="4"/>
  <c r="K130" i="4"/>
  <c r="J130" i="4"/>
  <c r="I130" i="4"/>
  <c r="H130" i="4"/>
  <c r="G130" i="4"/>
  <c r="F130" i="4"/>
  <c r="E130" i="4"/>
  <c r="D130" i="4"/>
  <c r="C130" i="4"/>
  <c r="B130" i="4"/>
  <c r="A130" i="4"/>
  <c r="Q129" i="4"/>
  <c r="P129" i="4"/>
  <c r="O129" i="4"/>
  <c r="N129" i="4"/>
  <c r="L129" i="4"/>
  <c r="K129" i="4"/>
  <c r="J129" i="4"/>
  <c r="I129" i="4"/>
  <c r="H129" i="4"/>
  <c r="G129" i="4"/>
  <c r="F129" i="4"/>
  <c r="E129" i="4"/>
  <c r="D129" i="4"/>
  <c r="C129" i="4"/>
  <c r="B129" i="4"/>
  <c r="A129" i="4"/>
  <c r="Q128" i="4"/>
  <c r="P128" i="4"/>
  <c r="O128" i="4"/>
  <c r="N128" i="4"/>
  <c r="L128" i="4"/>
  <c r="K128" i="4"/>
  <c r="J128" i="4"/>
  <c r="I128" i="4"/>
  <c r="H128" i="4"/>
  <c r="G128" i="4"/>
  <c r="F128" i="4"/>
  <c r="E128" i="4"/>
  <c r="D128" i="4"/>
  <c r="C128" i="4"/>
  <c r="B128" i="4"/>
  <c r="A128" i="4"/>
  <c r="Q127" i="4"/>
  <c r="P127" i="4"/>
  <c r="O127" i="4"/>
  <c r="N127" i="4"/>
  <c r="L127" i="4"/>
  <c r="K127" i="4"/>
  <c r="J127" i="4"/>
  <c r="I127" i="4"/>
  <c r="H127" i="4"/>
  <c r="G127" i="4"/>
  <c r="F127" i="4"/>
  <c r="E127" i="4"/>
  <c r="D127" i="4"/>
  <c r="C127" i="4"/>
  <c r="B127" i="4"/>
  <c r="A127" i="4"/>
  <c r="Q126" i="4"/>
  <c r="P126" i="4"/>
  <c r="O126" i="4"/>
  <c r="N126" i="4"/>
  <c r="L126" i="4"/>
  <c r="K126" i="4"/>
  <c r="J126" i="4"/>
  <c r="I126" i="4"/>
  <c r="H126" i="4"/>
  <c r="G126" i="4"/>
  <c r="F126" i="4"/>
  <c r="E126" i="4"/>
  <c r="D126" i="4"/>
  <c r="C126" i="4"/>
  <c r="B126" i="4"/>
  <c r="A126" i="4"/>
  <c r="Q125" i="4"/>
  <c r="P125" i="4"/>
  <c r="O125" i="4"/>
  <c r="N125" i="4"/>
  <c r="L125" i="4"/>
  <c r="K125" i="4"/>
  <c r="J125" i="4"/>
  <c r="I125" i="4"/>
  <c r="H125" i="4"/>
  <c r="G125" i="4"/>
  <c r="F125" i="4"/>
  <c r="E125" i="4"/>
  <c r="D125" i="4"/>
  <c r="C125" i="4"/>
  <c r="B125" i="4"/>
  <c r="A125" i="4"/>
  <c r="Q124" i="4"/>
  <c r="P124" i="4"/>
  <c r="O124" i="4"/>
  <c r="N124" i="4"/>
  <c r="L124" i="4"/>
  <c r="K124" i="4"/>
  <c r="J124" i="4"/>
  <c r="I124" i="4"/>
  <c r="H124" i="4"/>
  <c r="G124" i="4"/>
  <c r="F124" i="4"/>
  <c r="E124" i="4"/>
  <c r="D124" i="4"/>
  <c r="C124" i="4"/>
  <c r="B124" i="4"/>
  <c r="A124" i="4"/>
  <c r="Q123" i="4"/>
  <c r="P123" i="4"/>
  <c r="O123" i="4"/>
  <c r="N123" i="4"/>
  <c r="L123" i="4"/>
  <c r="K123" i="4"/>
  <c r="J123" i="4"/>
  <c r="I123" i="4"/>
  <c r="H123" i="4"/>
  <c r="G123" i="4"/>
  <c r="F123" i="4"/>
  <c r="E123" i="4"/>
  <c r="D123" i="4"/>
  <c r="C123" i="4"/>
  <c r="B123" i="4"/>
  <c r="A123" i="4"/>
  <c r="Q122" i="4"/>
  <c r="P122" i="4"/>
  <c r="O122" i="4"/>
  <c r="N122" i="4"/>
  <c r="L122" i="4"/>
  <c r="K122" i="4"/>
  <c r="J122" i="4"/>
  <c r="I122" i="4"/>
  <c r="H122" i="4"/>
  <c r="G122" i="4"/>
  <c r="F122" i="4"/>
  <c r="E122" i="4"/>
  <c r="D122" i="4"/>
  <c r="C122" i="4"/>
  <c r="B122" i="4"/>
  <c r="A122" i="4"/>
  <c r="Q121" i="4"/>
  <c r="P121" i="4"/>
  <c r="O121" i="4"/>
  <c r="N121" i="4"/>
  <c r="L121" i="4"/>
  <c r="K121" i="4"/>
  <c r="J121" i="4"/>
  <c r="I121" i="4"/>
  <c r="H121" i="4"/>
  <c r="G121" i="4"/>
  <c r="F121" i="4"/>
  <c r="E121" i="4"/>
  <c r="D121" i="4"/>
  <c r="C121" i="4"/>
  <c r="B121" i="4"/>
  <c r="A121" i="4"/>
  <c r="Q120" i="4"/>
  <c r="P120" i="4"/>
  <c r="O120" i="4"/>
  <c r="N120" i="4"/>
  <c r="L120" i="4"/>
  <c r="K120" i="4"/>
  <c r="J120" i="4"/>
  <c r="I120" i="4"/>
  <c r="H120" i="4"/>
  <c r="G120" i="4"/>
  <c r="F120" i="4"/>
  <c r="E120" i="4"/>
  <c r="D120" i="4"/>
  <c r="C120" i="4"/>
  <c r="B120" i="4"/>
  <c r="A120" i="4"/>
  <c r="Q119" i="4"/>
  <c r="P119" i="4"/>
  <c r="O119" i="4"/>
  <c r="N119" i="4"/>
  <c r="L119" i="4"/>
  <c r="K119" i="4"/>
  <c r="J119" i="4"/>
  <c r="I119" i="4"/>
  <c r="H119" i="4"/>
  <c r="G119" i="4"/>
  <c r="F119" i="4"/>
  <c r="E119" i="4"/>
  <c r="D119" i="4"/>
  <c r="C119" i="4"/>
  <c r="B119" i="4"/>
  <c r="A119" i="4"/>
  <c r="Q118" i="4"/>
  <c r="P118" i="4"/>
  <c r="O118" i="4"/>
  <c r="N118" i="4"/>
  <c r="L118" i="4"/>
  <c r="K118" i="4"/>
  <c r="J118" i="4"/>
  <c r="I118" i="4"/>
  <c r="H118" i="4"/>
  <c r="G118" i="4"/>
  <c r="F118" i="4"/>
  <c r="E118" i="4"/>
  <c r="D118" i="4"/>
  <c r="C118" i="4"/>
  <c r="B118" i="4"/>
  <c r="A118" i="4"/>
  <c r="Q117" i="4"/>
  <c r="P117" i="4"/>
  <c r="O117" i="4"/>
  <c r="N117" i="4"/>
  <c r="L117" i="4"/>
  <c r="K117" i="4"/>
  <c r="J117" i="4"/>
  <c r="I117" i="4"/>
  <c r="H117" i="4"/>
  <c r="G117" i="4"/>
  <c r="F117" i="4"/>
  <c r="E117" i="4"/>
  <c r="D117" i="4"/>
  <c r="C117" i="4"/>
  <c r="B117" i="4"/>
  <c r="A117" i="4"/>
  <c r="Q116" i="4"/>
  <c r="P116" i="4"/>
  <c r="O116" i="4"/>
  <c r="N116" i="4"/>
  <c r="L116" i="4"/>
  <c r="K116" i="4"/>
  <c r="J116" i="4"/>
  <c r="I116" i="4"/>
  <c r="H116" i="4"/>
  <c r="G116" i="4"/>
  <c r="F116" i="4"/>
  <c r="E116" i="4"/>
  <c r="D116" i="4"/>
  <c r="C116" i="4"/>
  <c r="B116" i="4"/>
  <c r="A116" i="4"/>
  <c r="Q115" i="4"/>
  <c r="P115" i="4"/>
  <c r="O115" i="4"/>
  <c r="N115" i="4"/>
  <c r="L115" i="4"/>
  <c r="K115" i="4"/>
  <c r="J115" i="4"/>
  <c r="I115" i="4"/>
  <c r="H115" i="4"/>
  <c r="G115" i="4"/>
  <c r="F115" i="4"/>
  <c r="E115" i="4"/>
  <c r="D115" i="4"/>
  <c r="C115" i="4"/>
  <c r="B115" i="4"/>
  <c r="A115" i="4"/>
  <c r="Q114" i="4"/>
  <c r="P114" i="4"/>
  <c r="O114" i="4"/>
  <c r="N114" i="4"/>
  <c r="L114" i="4"/>
  <c r="K114" i="4"/>
  <c r="J114" i="4"/>
  <c r="I114" i="4"/>
  <c r="H114" i="4"/>
  <c r="G114" i="4"/>
  <c r="F114" i="4"/>
  <c r="E114" i="4"/>
  <c r="D114" i="4"/>
  <c r="C114" i="4"/>
  <c r="B114" i="4"/>
  <c r="A114" i="4"/>
  <c r="Q113" i="4"/>
  <c r="P113" i="4"/>
  <c r="O113" i="4"/>
  <c r="N113" i="4"/>
  <c r="L113" i="4"/>
  <c r="K113" i="4"/>
  <c r="J113" i="4"/>
  <c r="I113" i="4"/>
  <c r="H113" i="4"/>
  <c r="G113" i="4"/>
  <c r="F113" i="4"/>
  <c r="E113" i="4"/>
  <c r="D113" i="4"/>
  <c r="C113" i="4"/>
  <c r="B113" i="4"/>
  <c r="A113" i="4"/>
  <c r="Q112" i="4"/>
  <c r="P112" i="4"/>
  <c r="O112" i="4"/>
  <c r="N112" i="4"/>
  <c r="L112" i="4"/>
  <c r="K112" i="4"/>
  <c r="J112" i="4"/>
  <c r="I112" i="4"/>
  <c r="H112" i="4"/>
  <c r="G112" i="4"/>
  <c r="F112" i="4"/>
  <c r="E112" i="4"/>
  <c r="D112" i="4"/>
  <c r="C112" i="4"/>
  <c r="B112" i="4"/>
  <c r="A112" i="4"/>
  <c r="Q111" i="4"/>
  <c r="P111" i="4"/>
  <c r="O111" i="4"/>
  <c r="N111" i="4"/>
  <c r="L111" i="4"/>
  <c r="K111" i="4"/>
  <c r="J111" i="4"/>
  <c r="I111" i="4"/>
  <c r="H111" i="4"/>
  <c r="G111" i="4"/>
  <c r="F111" i="4"/>
  <c r="E111" i="4"/>
  <c r="D111" i="4"/>
  <c r="C111" i="4"/>
  <c r="B111" i="4"/>
  <c r="A111" i="4"/>
  <c r="Q110" i="4"/>
  <c r="P110" i="4"/>
  <c r="O110" i="4"/>
  <c r="N110" i="4"/>
  <c r="L110" i="4"/>
  <c r="K110" i="4"/>
  <c r="J110" i="4"/>
  <c r="I110" i="4"/>
  <c r="H110" i="4"/>
  <c r="G110" i="4"/>
  <c r="F110" i="4"/>
  <c r="E110" i="4"/>
  <c r="D110" i="4"/>
  <c r="C110" i="4"/>
  <c r="B110" i="4"/>
  <c r="A110" i="4"/>
  <c r="Q109" i="4"/>
  <c r="P109" i="4"/>
  <c r="O109" i="4"/>
  <c r="N109" i="4"/>
  <c r="L109" i="4"/>
  <c r="K109" i="4"/>
  <c r="J109" i="4"/>
  <c r="I109" i="4"/>
  <c r="H109" i="4"/>
  <c r="G109" i="4"/>
  <c r="F109" i="4"/>
  <c r="E109" i="4"/>
  <c r="D109" i="4"/>
  <c r="C109" i="4"/>
  <c r="B109" i="4"/>
  <c r="A109" i="4"/>
  <c r="Q108" i="4"/>
  <c r="P108" i="4"/>
  <c r="O108" i="4"/>
  <c r="N108" i="4"/>
  <c r="L108" i="4"/>
  <c r="K108" i="4"/>
  <c r="J108" i="4"/>
  <c r="I108" i="4"/>
  <c r="H108" i="4"/>
  <c r="G108" i="4"/>
  <c r="F108" i="4"/>
  <c r="E108" i="4"/>
  <c r="D108" i="4"/>
  <c r="C108" i="4"/>
  <c r="B108" i="4"/>
  <c r="A108" i="4"/>
  <c r="Q107" i="4"/>
  <c r="P107" i="4"/>
  <c r="O107" i="4"/>
  <c r="N107" i="4"/>
  <c r="L107" i="4"/>
  <c r="K107" i="4"/>
  <c r="J107" i="4"/>
  <c r="I107" i="4"/>
  <c r="H107" i="4"/>
  <c r="G107" i="4"/>
  <c r="F107" i="4"/>
  <c r="E107" i="4"/>
  <c r="D107" i="4"/>
  <c r="C107" i="4"/>
  <c r="B107" i="4"/>
  <c r="A107" i="4"/>
  <c r="Q106" i="4"/>
  <c r="P106" i="4"/>
  <c r="O106" i="4"/>
  <c r="N106" i="4"/>
  <c r="L106" i="4"/>
  <c r="K106" i="4"/>
  <c r="J106" i="4"/>
  <c r="I106" i="4"/>
  <c r="H106" i="4"/>
  <c r="G106" i="4"/>
  <c r="F106" i="4"/>
  <c r="E106" i="4"/>
  <c r="D106" i="4"/>
  <c r="C106" i="4"/>
  <c r="B106" i="4"/>
  <c r="A106" i="4"/>
  <c r="Q105" i="4"/>
  <c r="P105" i="4"/>
  <c r="O105" i="4"/>
  <c r="N105" i="4"/>
  <c r="L105" i="4"/>
  <c r="K105" i="4"/>
  <c r="J105" i="4"/>
  <c r="I105" i="4"/>
  <c r="H105" i="4"/>
  <c r="G105" i="4"/>
  <c r="F105" i="4"/>
  <c r="E105" i="4"/>
  <c r="D105" i="4"/>
  <c r="C105" i="4"/>
  <c r="B105" i="4"/>
  <c r="A105" i="4"/>
  <c r="Q104" i="4"/>
  <c r="P104" i="4"/>
  <c r="O104" i="4"/>
  <c r="N104" i="4"/>
  <c r="L104" i="4"/>
  <c r="K104" i="4"/>
  <c r="J104" i="4"/>
  <c r="I104" i="4"/>
  <c r="H104" i="4"/>
  <c r="G104" i="4"/>
  <c r="F104" i="4"/>
  <c r="E104" i="4"/>
  <c r="D104" i="4"/>
  <c r="C104" i="4"/>
  <c r="B104" i="4"/>
  <c r="A104" i="4"/>
  <c r="Q103" i="4"/>
  <c r="P103" i="4"/>
  <c r="O103" i="4"/>
  <c r="N103" i="4"/>
  <c r="L103" i="4"/>
  <c r="K103" i="4"/>
  <c r="J103" i="4"/>
  <c r="I103" i="4"/>
  <c r="H103" i="4"/>
  <c r="G103" i="4"/>
  <c r="F103" i="4"/>
  <c r="E103" i="4"/>
  <c r="D103" i="4"/>
  <c r="C103" i="4"/>
  <c r="B103" i="4"/>
  <c r="A103" i="4"/>
  <c r="Q102" i="4"/>
  <c r="P102" i="4"/>
  <c r="O102" i="4"/>
  <c r="N102" i="4"/>
  <c r="L102" i="4"/>
  <c r="K102" i="4"/>
  <c r="J102" i="4"/>
  <c r="I102" i="4"/>
  <c r="H102" i="4"/>
  <c r="G102" i="4"/>
  <c r="F102" i="4"/>
  <c r="E102" i="4"/>
  <c r="D102" i="4"/>
  <c r="C102" i="4"/>
  <c r="B102" i="4"/>
  <c r="A102" i="4"/>
  <c r="Q101" i="4"/>
  <c r="P101" i="4"/>
  <c r="O101" i="4"/>
  <c r="N101" i="4"/>
  <c r="L101" i="4"/>
  <c r="K101" i="4"/>
  <c r="J101" i="4"/>
  <c r="I101" i="4"/>
  <c r="H101" i="4"/>
  <c r="G101" i="4"/>
  <c r="F101" i="4"/>
  <c r="E101" i="4"/>
  <c r="D101" i="4"/>
  <c r="C101" i="4"/>
  <c r="B101" i="4"/>
  <c r="A101" i="4"/>
  <c r="Q100" i="4"/>
  <c r="P100" i="4"/>
  <c r="O100" i="4"/>
  <c r="N100" i="4"/>
  <c r="L100" i="4"/>
  <c r="K100" i="4"/>
  <c r="J100" i="4"/>
  <c r="I100" i="4"/>
  <c r="H100" i="4"/>
  <c r="G100" i="4"/>
  <c r="F100" i="4"/>
  <c r="E100" i="4"/>
  <c r="D100" i="4"/>
  <c r="C100" i="4"/>
  <c r="B100" i="4"/>
  <c r="A100" i="4"/>
  <c r="Q99" i="4"/>
  <c r="P99" i="4"/>
  <c r="O99" i="4"/>
  <c r="N99" i="4"/>
  <c r="L99" i="4"/>
  <c r="K99" i="4"/>
  <c r="J99" i="4"/>
  <c r="I99" i="4"/>
  <c r="H99" i="4"/>
  <c r="G99" i="4"/>
  <c r="F99" i="4"/>
  <c r="E99" i="4"/>
  <c r="D99" i="4"/>
  <c r="C99" i="4"/>
  <c r="B99" i="4"/>
  <c r="A99" i="4"/>
  <c r="Q98" i="4"/>
  <c r="P98" i="4"/>
  <c r="O98" i="4"/>
  <c r="N98" i="4"/>
  <c r="L98" i="4"/>
  <c r="K98" i="4"/>
  <c r="J98" i="4"/>
  <c r="I98" i="4"/>
  <c r="H98" i="4"/>
  <c r="G98" i="4"/>
  <c r="F98" i="4"/>
  <c r="E98" i="4"/>
  <c r="D98" i="4"/>
  <c r="C98" i="4"/>
  <c r="B98" i="4"/>
  <c r="A98" i="4"/>
  <c r="Q97" i="4"/>
  <c r="P97" i="4"/>
  <c r="O97" i="4"/>
  <c r="N97" i="4"/>
  <c r="L97" i="4"/>
  <c r="K97" i="4"/>
  <c r="J97" i="4"/>
  <c r="I97" i="4"/>
  <c r="H97" i="4"/>
  <c r="G97" i="4"/>
  <c r="F97" i="4"/>
  <c r="E97" i="4"/>
  <c r="D97" i="4"/>
  <c r="C97" i="4"/>
  <c r="B97" i="4"/>
  <c r="A97" i="4"/>
  <c r="Q96" i="4"/>
  <c r="P96" i="4"/>
  <c r="O96" i="4"/>
  <c r="N96" i="4"/>
  <c r="L96" i="4"/>
  <c r="K96" i="4"/>
  <c r="J96" i="4"/>
  <c r="I96" i="4"/>
  <c r="H96" i="4"/>
  <c r="G96" i="4"/>
  <c r="F96" i="4"/>
  <c r="E96" i="4"/>
  <c r="D96" i="4"/>
  <c r="C96" i="4"/>
  <c r="B96" i="4"/>
  <c r="A96" i="4"/>
  <c r="Q95" i="4"/>
  <c r="P95" i="4"/>
  <c r="O95" i="4"/>
  <c r="N95" i="4"/>
  <c r="L95" i="4"/>
  <c r="K95" i="4"/>
  <c r="J95" i="4"/>
  <c r="I95" i="4"/>
  <c r="H95" i="4"/>
  <c r="G95" i="4"/>
  <c r="F95" i="4"/>
  <c r="E95" i="4"/>
  <c r="D95" i="4"/>
  <c r="C95" i="4"/>
  <c r="B95" i="4"/>
  <c r="A95" i="4"/>
  <c r="Q94" i="4"/>
  <c r="P94" i="4"/>
  <c r="O94" i="4"/>
  <c r="N94" i="4"/>
  <c r="L94" i="4"/>
  <c r="K94" i="4"/>
  <c r="J94" i="4"/>
  <c r="I94" i="4"/>
  <c r="H94" i="4"/>
  <c r="G94" i="4"/>
  <c r="F94" i="4"/>
  <c r="E94" i="4"/>
  <c r="D94" i="4"/>
  <c r="C94" i="4"/>
  <c r="B94" i="4"/>
  <c r="A94" i="4"/>
  <c r="Q93" i="4"/>
  <c r="P93" i="4"/>
  <c r="O93" i="4"/>
  <c r="N93" i="4"/>
  <c r="L93" i="4"/>
  <c r="K93" i="4"/>
  <c r="J93" i="4"/>
  <c r="I93" i="4"/>
  <c r="H93" i="4"/>
  <c r="G93" i="4"/>
  <c r="F93" i="4"/>
  <c r="E93" i="4"/>
  <c r="D93" i="4"/>
  <c r="C93" i="4"/>
  <c r="B93" i="4"/>
  <c r="A93" i="4"/>
  <c r="Q92" i="4"/>
  <c r="P92" i="4"/>
  <c r="O92" i="4"/>
  <c r="N92" i="4"/>
  <c r="L92" i="4"/>
  <c r="K92" i="4"/>
  <c r="J92" i="4"/>
  <c r="I92" i="4"/>
  <c r="H92" i="4"/>
  <c r="G92" i="4"/>
  <c r="F92" i="4"/>
  <c r="E92" i="4"/>
  <c r="D92" i="4"/>
  <c r="C92" i="4"/>
  <c r="B92" i="4"/>
  <c r="A92" i="4"/>
  <c r="Q91" i="4"/>
  <c r="P91" i="4"/>
  <c r="O91" i="4"/>
  <c r="N91" i="4"/>
  <c r="L91" i="4"/>
  <c r="K91" i="4"/>
  <c r="J91" i="4"/>
  <c r="I91" i="4"/>
  <c r="H91" i="4"/>
  <c r="G91" i="4"/>
  <c r="F91" i="4"/>
  <c r="E91" i="4"/>
  <c r="D91" i="4"/>
  <c r="C91" i="4"/>
  <c r="B91" i="4"/>
  <c r="A91" i="4"/>
  <c r="Q90" i="4"/>
  <c r="P90" i="4"/>
  <c r="O90" i="4"/>
  <c r="N90" i="4"/>
  <c r="L90" i="4"/>
  <c r="K90" i="4"/>
  <c r="J90" i="4"/>
  <c r="I90" i="4"/>
  <c r="H90" i="4"/>
  <c r="G90" i="4"/>
  <c r="F90" i="4"/>
  <c r="E90" i="4"/>
  <c r="D90" i="4"/>
  <c r="C90" i="4"/>
  <c r="B90" i="4"/>
  <c r="A90" i="4"/>
  <c r="Q89" i="4"/>
  <c r="P89" i="4"/>
  <c r="O89" i="4"/>
  <c r="N89" i="4"/>
  <c r="L89" i="4"/>
  <c r="K89" i="4"/>
  <c r="J89" i="4"/>
  <c r="I89" i="4"/>
  <c r="H89" i="4"/>
  <c r="G89" i="4"/>
  <c r="F89" i="4"/>
  <c r="E89" i="4"/>
  <c r="D89" i="4"/>
  <c r="C89" i="4"/>
  <c r="B89" i="4"/>
  <c r="A89" i="4"/>
  <c r="Q88" i="4"/>
  <c r="P88" i="4"/>
  <c r="O88" i="4"/>
  <c r="N88" i="4"/>
  <c r="L88" i="4"/>
  <c r="K88" i="4"/>
  <c r="J88" i="4"/>
  <c r="I88" i="4"/>
  <c r="H88" i="4"/>
  <c r="G88" i="4"/>
  <c r="F88" i="4"/>
  <c r="E88" i="4"/>
  <c r="D88" i="4"/>
  <c r="C88" i="4"/>
  <c r="B88" i="4"/>
  <c r="A88" i="4"/>
  <c r="Q87" i="4"/>
  <c r="P87" i="4"/>
  <c r="O87" i="4"/>
  <c r="N87" i="4"/>
  <c r="L87" i="4"/>
  <c r="K87" i="4"/>
  <c r="J87" i="4"/>
  <c r="I87" i="4"/>
  <c r="H87" i="4"/>
  <c r="G87" i="4"/>
  <c r="F87" i="4"/>
  <c r="E87" i="4"/>
  <c r="D87" i="4"/>
  <c r="C87" i="4"/>
  <c r="B87" i="4"/>
  <c r="A87" i="4"/>
  <c r="Q86" i="4"/>
  <c r="P86" i="4"/>
  <c r="O86" i="4"/>
  <c r="N86" i="4"/>
  <c r="L86" i="4"/>
  <c r="K86" i="4"/>
  <c r="J86" i="4"/>
  <c r="I86" i="4"/>
  <c r="H86" i="4"/>
  <c r="G86" i="4"/>
  <c r="F86" i="4"/>
  <c r="E86" i="4"/>
  <c r="D86" i="4"/>
  <c r="C86" i="4"/>
  <c r="B86" i="4"/>
  <c r="A86" i="4"/>
  <c r="Q85" i="4"/>
  <c r="P85" i="4"/>
  <c r="O85" i="4"/>
  <c r="N85" i="4"/>
  <c r="L85" i="4"/>
  <c r="K85" i="4"/>
  <c r="J85" i="4"/>
  <c r="I85" i="4"/>
  <c r="H85" i="4"/>
  <c r="G85" i="4"/>
  <c r="F85" i="4"/>
  <c r="E85" i="4"/>
  <c r="D85" i="4"/>
  <c r="C85" i="4"/>
  <c r="B85" i="4"/>
  <c r="A85" i="4"/>
  <c r="Q84" i="4"/>
  <c r="P84" i="4"/>
  <c r="O84" i="4"/>
  <c r="N84" i="4"/>
  <c r="L84" i="4"/>
  <c r="K84" i="4"/>
  <c r="J84" i="4"/>
  <c r="I84" i="4"/>
  <c r="H84" i="4"/>
  <c r="G84" i="4"/>
  <c r="F84" i="4"/>
  <c r="E84" i="4"/>
  <c r="D84" i="4"/>
  <c r="C84" i="4"/>
  <c r="B84" i="4"/>
  <c r="A84" i="4"/>
  <c r="Q83" i="4"/>
  <c r="P83" i="4"/>
  <c r="O83" i="4"/>
  <c r="N83" i="4"/>
  <c r="L83" i="4"/>
  <c r="K83" i="4"/>
  <c r="J83" i="4"/>
  <c r="I83" i="4"/>
  <c r="H83" i="4"/>
  <c r="G83" i="4"/>
  <c r="F83" i="4"/>
  <c r="E83" i="4"/>
  <c r="D83" i="4"/>
  <c r="C83" i="4"/>
  <c r="B83" i="4"/>
  <c r="A83" i="4"/>
  <c r="Q82" i="4"/>
  <c r="P82" i="4"/>
  <c r="O82" i="4"/>
  <c r="N82" i="4"/>
  <c r="L82" i="4"/>
  <c r="K82" i="4"/>
  <c r="J82" i="4"/>
  <c r="I82" i="4"/>
  <c r="H82" i="4"/>
  <c r="G82" i="4"/>
  <c r="F82" i="4"/>
  <c r="E82" i="4"/>
  <c r="D82" i="4"/>
  <c r="C82" i="4"/>
  <c r="B82" i="4"/>
  <c r="A82" i="4"/>
  <c r="Q81" i="4"/>
  <c r="P81" i="4"/>
  <c r="O81" i="4"/>
  <c r="N81" i="4"/>
  <c r="L81" i="4"/>
  <c r="K81" i="4"/>
  <c r="J81" i="4"/>
  <c r="I81" i="4"/>
  <c r="H81" i="4"/>
  <c r="G81" i="4"/>
  <c r="F81" i="4"/>
  <c r="E81" i="4"/>
  <c r="D81" i="4"/>
  <c r="C81" i="4"/>
  <c r="B81" i="4"/>
  <c r="A81" i="4"/>
  <c r="Q80" i="4"/>
  <c r="P80" i="4"/>
  <c r="O80" i="4"/>
  <c r="N80" i="4"/>
  <c r="L80" i="4"/>
  <c r="K80" i="4"/>
  <c r="J80" i="4"/>
  <c r="I80" i="4"/>
  <c r="H80" i="4"/>
  <c r="G80" i="4"/>
  <c r="F80" i="4"/>
  <c r="E80" i="4"/>
  <c r="D80" i="4"/>
  <c r="C80" i="4"/>
  <c r="B80" i="4"/>
  <c r="A80" i="4"/>
  <c r="Q79" i="4"/>
  <c r="P79" i="4"/>
  <c r="O79" i="4"/>
  <c r="N79" i="4"/>
  <c r="L79" i="4"/>
  <c r="K79" i="4"/>
  <c r="J79" i="4"/>
  <c r="I79" i="4"/>
  <c r="H79" i="4"/>
  <c r="G79" i="4"/>
  <c r="F79" i="4"/>
  <c r="E79" i="4"/>
  <c r="D79" i="4"/>
  <c r="C79" i="4"/>
  <c r="B79" i="4"/>
  <c r="A79" i="4"/>
  <c r="Q78" i="4"/>
  <c r="P78" i="4"/>
  <c r="O78" i="4"/>
  <c r="N78" i="4"/>
  <c r="L78" i="4"/>
  <c r="K78" i="4"/>
  <c r="J78" i="4"/>
  <c r="I78" i="4"/>
  <c r="H78" i="4"/>
  <c r="G78" i="4"/>
  <c r="F78" i="4"/>
  <c r="E78" i="4"/>
  <c r="D78" i="4"/>
  <c r="C78" i="4"/>
  <c r="B78" i="4"/>
  <c r="A78" i="4"/>
  <c r="Q77" i="4"/>
  <c r="P77" i="4"/>
  <c r="O77" i="4"/>
  <c r="N77" i="4"/>
  <c r="L77" i="4"/>
  <c r="K77" i="4"/>
  <c r="J77" i="4"/>
  <c r="I77" i="4"/>
  <c r="H77" i="4"/>
  <c r="G77" i="4"/>
  <c r="F77" i="4"/>
  <c r="E77" i="4"/>
  <c r="D77" i="4"/>
  <c r="C77" i="4"/>
  <c r="B77" i="4"/>
  <c r="A77" i="4"/>
  <c r="Q76" i="4"/>
  <c r="P76" i="4"/>
  <c r="O76" i="4"/>
  <c r="N76" i="4"/>
  <c r="L76" i="4"/>
  <c r="K76" i="4"/>
  <c r="J76" i="4"/>
  <c r="I76" i="4"/>
  <c r="H76" i="4"/>
  <c r="G76" i="4"/>
  <c r="F76" i="4"/>
  <c r="E76" i="4"/>
  <c r="D76" i="4"/>
  <c r="C76" i="4"/>
  <c r="B76" i="4"/>
  <c r="A76" i="4"/>
  <c r="Q75" i="4"/>
  <c r="P75" i="4"/>
  <c r="O75" i="4"/>
  <c r="N75" i="4"/>
  <c r="L75" i="4"/>
  <c r="K75" i="4"/>
  <c r="J75" i="4"/>
  <c r="I75" i="4"/>
  <c r="H75" i="4"/>
  <c r="G75" i="4"/>
  <c r="F75" i="4"/>
  <c r="E75" i="4"/>
  <c r="D75" i="4"/>
  <c r="C75" i="4"/>
  <c r="B75" i="4"/>
  <c r="A75" i="4"/>
  <c r="Q74" i="4"/>
  <c r="P74" i="4"/>
  <c r="O74" i="4"/>
  <c r="N74" i="4"/>
  <c r="L74" i="4"/>
  <c r="K74" i="4"/>
  <c r="J74" i="4"/>
  <c r="I74" i="4"/>
  <c r="H74" i="4"/>
  <c r="G74" i="4"/>
  <c r="F74" i="4"/>
  <c r="E74" i="4"/>
  <c r="D74" i="4"/>
  <c r="C74" i="4"/>
  <c r="B74" i="4"/>
  <c r="A74" i="4"/>
  <c r="Q73" i="4"/>
  <c r="P73" i="4"/>
  <c r="O73" i="4"/>
  <c r="N73" i="4"/>
  <c r="L73" i="4"/>
  <c r="K73" i="4"/>
  <c r="J73" i="4"/>
  <c r="I73" i="4"/>
  <c r="H73" i="4"/>
  <c r="G73" i="4"/>
  <c r="F73" i="4"/>
  <c r="E73" i="4"/>
  <c r="D73" i="4"/>
  <c r="C73" i="4"/>
  <c r="B73" i="4"/>
  <c r="A73" i="4"/>
  <c r="Q72" i="4"/>
  <c r="P72" i="4"/>
  <c r="O72" i="4"/>
  <c r="N72" i="4"/>
  <c r="L72" i="4"/>
  <c r="K72" i="4"/>
  <c r="J72" i="4"/>
  <c r="I72" i="4"/>
  <c r="H72" i="4"/>
  <c r="G72" i="4"/>
  <c r="F72" i="4"/>
  <c r="E72" i="4"/>
  <c r="D72" i="4"/>
  <c r="C72" i="4"/>
  <c r="B72" i="4"/>
  <c r="A72" i="4"/>
  <c r="Q71" i="4"/>
  <c r="P71" i="4"/>
  <c r="O71" i="4"/>
  <c r="N71" i="4"/>
  <c r="L71" i="4"/>
  <c r="K71" i="4"/>
  <c r="J71" i="4"/>
  <c r="I71" i="4"/>
  <c r="H71" i="4"/>
  <c r="G71" i="4"/>
  <c r="F71" i="4"/>
  <c r="E71" i="4"/>
  <c r="D71" i="4"/>
  <c r="C71" i="4"/>
  <c r="B71" i="4"/>
  <c r="A71" i="4"/>
  <c r="Q70" i="4"/>
  <c r="P70" i="4"/>
  <c r="O70" i="4"/>
  <c r="N70" i="4"/>
  <c r="L70" i="4"/>
  <c r="K70" i="4"/>
  <c r="J70" i="4"/>
  <c r="I70" i="4"/>
  <c r="H70" i="4"/>
  <c r="G70" i="4"/>
  <c r="F70" i="4"/>
  <c r="E70" i="4"/>
  <c r="D70" i="4"/>
  <c r="C70" i="4"/>
  <c r="B70" i="4"/>
  <c r="A70" i="4"/>
  <c r="Q69" i="4"/>
  <c r="P69" i="4"/>
  <c r="O69" i="4"/>
  <c r="N69" i="4"/>
  <c r="L69" i="4"/>
  <c r="K69" i="4"/>
  <c r="J69" i="4"/>
  <c r="I69" i="4"/>
  <c r="H69" i="4"/>
  <c r="G69" i="4"/>
  <c r="F69" i="4"/>
  <c r="E69" i="4"/>
  <c r="D69" i="4"/>
  <c r="C69" i="4"/>
  <c r="B69" i="4"/>
  <c r="A69" i="4"/>
  <c r="Q68" i="4"/>
  <c r="P68" i="4"/>
  <c r="O68" i="4"/>
  <c r="N68" i="4"/>
  <c r="L68" i="4"/>
  <c r="K68" i="4"/>
  <c r="J68" i="4"/>
  <c r="I68" i="4"/>
  <c r="H68" i="4"/>
  <c r="G68" i="4"/>
  <c r="F68" i="4"/>
  <c r="E68" i="4"/>
  <c r="D68" i="4"/>
  <c r="C68" i="4"/>
  <c r="B68" i="4"/>
  <c r="A68" i="4"/>
  <c r="Q67" i="4"/>
  <c r="P67" i="4"/>
  <c r="O67" i="4"/>
  <c r="N67" i="4"/>
  <c r="L67" i="4"/>
  <c r="K67" i="4"/>
  <c r="J67" i="4"/>
  <c r="I67" i="4"/>
  <c r="H67" i="4"/>
  <c r="G67" i="4"/>
  <c r="F67" i="4"/>
  <c r="E67" i="4"/>
  <c r="D67" i="4"/>
  <c r="C67" i="4"/>
  <c r="B67" i="4"/>
  <c r="A67" i="4"/>
  <c r="Q66" i="4"/>
  <c r="P66" i="4"/>
  <c r="O66" i="4"/>
  <c r="N66" i="4"/>
  <c r="L66" i="4"/>
  <c r="K66" i="4"/>
  <c r="J66" i="4"/>
  <c r="I66" i="4"/>
  <c r="H66" i="4"/>
  <c r="G66" i="4"/>
  <c r="F66" i="4"/>
  <c r="E66" i="4"/>
  <c r="D66" i="4"/>
  <c r="C66" i="4"/>
  <c r="B66" i="4"/>
  <c r="A66" i="4"/>
  <c r="Q65" i="4"/>
  <c r="P65" i="4"/>
  <c r="O65" i="4"/>
  <c r="N65" i="4"/>
  <c r="L65" i="4"/>
  <c r="K65" i="4"/>
  <c r="J65" i="4"/>
  <c r="I65" i="4"/>
  <c r="H65" i="4"/>
  <c r="G65" i="4"/>
  <c r="F65" i="4"/>
  <c r="E65" i="4"/>
  <c r="D65" i="4"/>
  <c r="C65" i="4"/>
  <c r="B65" i="4"/>
  <c r="A65" i="4"/>
  <c r="Q64" i="4"/>
  <c r="P64" i="4"/>
  <c r="O64" i="4"/>
  <c r="N64" i="4"/>
  <c r="L64" i="4"/>
  <c r="K64" i="4"/>
  <c r="J64" i="4"/>
  <c r="I64" i="4"/>
  <c r="H64" i="4"/>
  <c r="G64" i="4"/>
  <c r="F64" i="4"/>
  <c r="E64" i="4"/>
  <c r="D64" i="4"/>
  <c r="C64" i="4"/>
  <c r="B64" i="4"/>
  <c r="A64" i="4"/>
  <c r="Q63" i="4"/>
  <c r="P63" i="4"/>
  <c r="O63" i="4"/>
  <c r="N63" i="4"/>
  <c r="L63" i="4"/>
  <c r="K63" i="4"/>
  <c r="J63" i="4"/>
  <c r="I63" i="4"/>
  <c r="H63" i="4"/>
  <c r="G63" i="4"/>
  <c r="F63" i="4"/>
  <c r="E63" i="4"/>
  <c r="D63" i="4"/>
  <c r="C63" i="4"/>
  <c r="B63" i="4"/>
  <c r="A63" i="4"/>
  <c r="Q62" i="4"/>
  <c r="P62" i="4"/>
  <c r="O62" i="4"/>
  <c r="N62" i="4"/>
  <c r="L62" i="4"/>
  <c r="K62" i="4"/>
  <c r="J62" i="4"/>
  <c r="I62" i="4"/>
  <c r="H62" i="4"/>
  <c r="G62" i="4"/>
  <c r="F62" i="4"/>
  <c r="E62" i="4"/>
  <c r="D62" i="4"/>
  <c r="C62" i="4"/>
  <c r="B62" i="4"/>
  <c r="A62" i="4"/>
  <c r="Q61" i="4"/>
  <c r="P61" i="4"/>
  <c r="O61" i="4"/>
  <c r="N61" i="4"/>
  <c r="L61" i="4"/>
  <c r="K61" i="4"/>
  <c r="J61" i="4"/>
  <c r="I61" i="4"/>
  <c r="H61" i="4"/>
  <c r="G61" i="4"/>
  <c r="F61" i="4"/>
  <c r="E61" i="4"/>
  <c r="D61" i="4"/>
  <c r="C61" i="4"/>
  <c r="B61" i="4"/>
  <c r="A61" i="4"/>
  <c r="Q60" i="4"/>
  <c r="P60" i="4"/>
  <c r="O60" i="4"/>
  <c r="N60" i="4"/>
  <c r="L60" i="4"/>
  <c r="K60" i="4"/>
  <c r="J60" i="4"/>
  <c r="I60" i="4"/>
  <c r="H60" i="4"/>
  <c r="G60" i="4"/>
  <c r="F60" i="4"/>
  <c r="E60" i="4"/>
  <c r="D60" i="4"/>
  <c r="C60" i="4"/>
  <c r="B60" i="4"/>
  <c r="A60" i="4"/>
  <c r="Q59" i="4"/>
  <c r="P59" i="4"/>
  <c r="O59" i="4"/>
  <c r="N59" i="4"/>
  <c r="L59" i="4"/>
  <c r="K59" i="4"/>
  <c r="J59" i="4"/>
  <c r="I59" i="4"/>
  <c r="H59" i="4"/>
  <c r="G59" i="4"/>
  <c r="F59" i="4"/>
  <c r="E59" i="4"/>
  <c r="D59" i="4"/>
  <c r="C59" i="4"/>
  <c r="B59" i="4"/>
  <c r="A59" i="4"/>
  <c r="Q58" i="4"/>
  <c r="P58" i="4"/>
  <c r="O58" i="4"/>
  <c r="N58" i="4"/>
  <c r="L58" i="4"/>
  <c r="K58" i="4"/>
  <c r="J58" i="4"/>
  <c r="I58" i="4"/>
  <c r="H58" i="4"/>
  <c r="G58" i="4"/>
  <c r="F58" i="4"/>
  <c r="E58" i="4"/>
  <c r="D58" i="4"/>
  <c r="C58" i="4"/>
  <c r="B58" i="4"/>
  <c r="A58" i="4"/>
  <c r="Q57" i="4"/>
  <c r="P57" i="4"/>
  <c r="O57" i="4"/>
  <c r="N57" i="4"/>
  <c r="L57" i="4"/>
  <c r="K57" i="4"/>
  <c r="J57" i="4"/>
  <c r="I57" i="4"/>
  <c r="H57" i="4"/>
  <c r="G57" i="4"/>
  <c r="F57" i="4"/>
  <c r="E57" i="4"/>
  <c r="D57" i="4"/>
  <c r="C57" i="4"/>
  <c r="B57" i="4"/>
  <c r="A57" i="4"/>
  <c r="Q56" i="4"/>
  <c r="P56" i="4"/>
  <c r="O56" i="4"/>
  <c r="N56" i="4"/>
  <c r="L56" i="4"/>
  <c r="K56" i="4"/>
  <c r="J56" i="4"/>
  <c r="I56" i="4"/>
  <c r="H56" i="4"/>
  <c r="G56" i="4"/>
  <c r="F56" i="4"/>
  <c r="E56" i="4"/>
  <c r="D56" i="4"/>
  <c r="C56" i="4"/>
  <c r="B56" i="4"/>
  <c r="A56" i="4"/>
  <c r="Q55" i="4"/>
  <c r="P55" i="4"/>
  <c r="O55" i="4"/>
  <c r="N55" i="4"/>
  <c r="L55" i="4"/>
  <c r="K55" i="4"/>
  <c r="J55" i="4"/>
  <c r="I55" i="4"/>
  <c r="H55" i="4"/>
  <c r="G55" i="4"/>
  <c r="F55" i="4"/>
  <c r="E55" i="4"/>
  <c r="D55" i="4"/>
  <c r="C55" i="4"/>
  <c r="B55" i="4"/>
  <c r="A55" i="4"/>
  <c r="O54" i="4"/>
  <c r="K54" i="4"/>
  <c r="I54" i="4"/>
  <c r="H54" i="4"/>
  <c r="G54" i="4"/>
  <c r="F54" i="4"/>
  <c r="P54" i="4" s="1"/>
  <c r="E54" i="4"/>
  <c r="D54" i="4"/>
  <c r="C54" i="4"/>
  <c r="J54" i="4" s="1"/>
  <c r="B54" i="4"/>
  <c r="Q54" i="4" s="1"/>
  <c r="A54" i="4"/>
  <c r="O53" i="4"/>
  <c r="K53" i="4"/>
  <c r="I53" i="4"/>
  <c r="H53" i="4"/>
  <c r="G53" i="4"/>
  <c r="F53" i="4"/>
  <c r="P53" i="4" s="1"/>
  <c r="E53" i="4"/>
  <c r="D53" i="4"/>
  <c r="C53" i="4"/>
  <c r="J53" i="4" s="1"/>
  <c r="B53" i="4"/>
  <c r="Q53" i="4" s="1"/>
  <c r="A53" i="4"/>
  <c r="O52" i="4"/>
  <c r="K52" i="4"/>
  <c r="I52" i="4"/>
  <c r="H52" i="4"/>
  <c r="G52" i="4"/>
  <c r="F52" i="4"/>
  <c r="P52" i="4" s="1"/>
  <c r="E52" i="4"/>
  <c r="D52" i="4"/>
  <c r="C52" i="4"/>
  <c r="J52" i="4" s="1"/>
  <c r="B52" i="4"/>
  <c r="Q52" i="4" s="1"/>
  <c r="A52" i="4"/>
  <c r="O51" i="4"/>
  <c r="K51" i="4"/>
  <c r="I51" i="4"/>
  <c r="H51" i="4"/>
  <c r="G51" i="4"/>
  <c r="F51" i="4"/>
  <c r="P51" i="4" s="1"/>
  <c r="E51" i="4"/>
  <c r="D51" i="4"/>
  <c r="C51" i="4"/>
  <c r="J51" i="4" s="1"/>
  <c r="B51" i="4"/>
  <c r="Q51" i="4" s="1"/>
  <c r="A51" i="4"/>
  <c r="O50" i="4"/>
  <c r="K50" i="4"/>
  <c r="I50" i="4"/>
  <c r="H50" i="4"/>
  <c r="G50" i="4"/>
  <c r="F50" i="4"/>
  <c r="P50" i="4" s="1"/>
  <c r="E50" i="4"/>
  <c r="D50" i="4"/>
  <c r="C50" i="4"/>
  <c r="J50" i="4" s="1"/>
  <c r="B50" i="4"/>
  <c r="Q50" i="4" s="1"/>
  <c r="A50" i="4"/>
  <c r="O49" i="4"/>
  <c r="K49" i="4"/>
  <c r="I49" i="4"/>
  <c r="H49" i="4"/>
  <c r="G49" i="4"/>
  <c r="F49" i="4"/>
  <c r="P49" i="4" s="1"/>
  <c r="E49" i="4"/>
  <c r="D49" i="4"/>
  <c r="C49" i="4"/>
  <c r="J49" i="4" s="1"/>
  <c r="B49" i="4"/>
  <c r="Q49" i="4" s="1"/>
  <c r="A49" i="4"/>
  <c r="O48" i="4"/>
  <c r="K48" i="4"/>
  <c r="I48" i="4"/>
  <c r="H48" i="4"/>
  <c r="G48" i="4"/>
  <c r="F48" i="4"/>
  <c r="P48" i="4" s="1"/>
  <c r="E48" i="4"/>
  <c r="D48" i="4"/>
  <c r="C48" i="4"/>
  <c r="J48" i="4" s="1"/>
  <c r="B48" i="4"/>
  <c r="Q48" i="4" s="1"/>
  <c r="A48" i="4"/>
  <c r="O47" i="4"/>
  <c r="K47" i="4"/>
  <c r="I47" i="4"/>
  <c r="H47" i="4"/>
  <c r="G47" i="4"/>
  <c r="F47" i="4"/>
  <c r="P47" i="4" s="1"/>
  <c r="E47" i="4"/>
  <c r="D47" i="4"/>
  <c r="C47" i="4"/>
  <c r="J47" i="4" s="1"/>
  <c r="B47" i="4"/>
  <c r="Q47" i="4" s="1"/>
  <c r="A47" i="4"/>
  <c r="O46" i="4"/>
  <c r="K46" i="4"/>
  <c r="I46" i="4"/>
  <c r="H46" i="4"/>
  <c r="G46" i="4"/>
  <c r="F46" i="4"/>
  <c r="P46" i="4" s="1"/>
  <c r="E46" i="4"/>
  <c r="D46" i="4"/>
  <c r="C46" i="4"/>
  <c r="J46" i="4" s="1"/>
  <c r="B46" i="4"/>
  <c r="Q46" i="4" s="1"/>
  <c r="A46" i="4"/>
  <c r="O45" i="4"/>
  <c r="K45" i="4"/>
  <c r="I45" i="4"/>
  <c r="H45" i="4"/>
  <c r="G45" i="4"/>
  <c r="F45" i="4"/>
  <c r="P45" i="4" s="1"/>
  <c r="E45" i="4"/>
  <c r="D45" i="4"/>
  <c r="C45" i="4"/>
  <c r="J45" i="4" s="1"/>
  <c r="B45" i="4"/>
  <c r="Q45" i="4" s="1"/>
  <c r="A45" i="4"/>
  <c r="K44" i="4"/>
  <c r="I44" i="4"/>
  <c r="H44" i="4"/>
  <c r="G44" i="4"/>
  <c r="F44" i="4"/>
  <c r="P44" i="4" s="1"/>
  <c r="E44" i="4"/>
  <c r="D44" i="4"/>
  <c r="O44" i="4" s="1"/>
  <c r="C44" i="4"/>
  <c r="J44" i="4" s="1"/>
  <c r="B44" i="4"/>
  <c r="Q44" i="4" s="1"/>
  <c r="A44" i="4"/>
  <c r="Q43" i="4"/>
  <c r="P43" i="4"/>
  <c r="O43" i="4"/>
  <c r="K43" i="4"/>
  <c r="I43" i="4"/>
  <c r="H43" i="4"/>
  <c r="G43" i="4"/>
  <c r="F43" i="4"/>
  <c r="E43" i="4"/>
  <c r="D43" i="4"/>
  <c r="C43" i="4"/>
  <c r="J43" i="4" s="1"/>
  <c r="B43" i="4"/>
  <c r="L43" i="4" s="1"/>
  <c r="N43" i="4" s="1"/>
  <c r="A43" i="4"/>
  <c r="P42" i="4"/>
  <c r="N42" i="4"/>
  <c r="L42" i="4"/>
  <c r="I42" i="4"/>
  <c r="H42" i="4"/>
  <c r="G42" i="4"/>
  <c r="F42" i="4"/>
  <c r="E42" i="4"/>
  <c r="D42" i="4"/>
  <c r="O42" i="4" s="1"/>
  <c r="C42" i="4"/>
  <c r="J42" i="4" s="1"/>
  <c r="B42" i="4"/>
  <c r="Q42" i="4" s="1"/>
  <c r="A42" i="4"/>
  <c r="K42" i="4" s="1"/>
  <c r="P41" i="4"/>
  <c r="K41" i="4"/>
  <c r="I41" i="4"/>
  <c r="H41" i="4"/>
  <c r="G41" i="4"/>
  <c r="F41" i="4"/>
  <c r="E41" i="4"/>
  <c r="D41" i="4"/>
  <c r="O41" i="4" s="1"/>
  <c r="C41" i="4"/>
  <c r="J41" i="4" s="1"/>
  <c r="B41" i="4"/>
  <c r="Q41" i="4" s="1"/>
  <c r="A41" i="4"/>
  <c r="Q40" i="4"/>
  <c r="P40" i="4"/>
  <c r="K40" i="4"/>
  <c r="I40" i="4"/>
  <c r="H40" i="4"/>
  <c r="G40" i="4"/>
  <c r="F40" i="4"/>
  <c r="E40" i="4"/>
  <c r="D40" i="4"/>
  <c r="O40" i="4" s="1"/>
  <c r="C40" i="4"/>
  <c r="J40" i="4" s="1"/>
  <c r="B40" i="4"/>
  <c r="L40" i="4" s="1"/>
  <c r="N40" i="4" s="1"/>
  <c r="A40" i="4"/>
  <c r="Q39" i="4"/>
  <c r="P39" i="4"/>
  <c r="O39" i="4"/>
  <c r="K39" i="4"/>
  <c r="I39" i="4"/>
  <c r="H39" i="4"/>
  <c r="G39" i="4"/>
  <c r="F39" i="4"/>
  <c r="E39" i="4"/>
  <c r="D39" i="4"/>
  <c r="C39" i="4"/>
  <c r="J39" i="4" s="1"/>
  <c r="B39" i="4"/>
  <c r="L39" i="4" s="1"/>
  <c r="N39" i="4" s="1"/>
  <c r="A39" i="4"/>
  <c r="P38" i="4"/>
  <c r="N38" i="4"/>
  <c r="L38" i="4"/>
  <c r="I38" i="4"/>
  <c r="H38" i="4"/>
  <c r="G38" i="4"/>
  <c r="F38" i="4"/>
  <c r="E38" i="4"/>
  <c r="D38" i="4"/>
  <c r="O38" i="4" s="1"/>
  <c r="C38" i="4"/>
  <c r="J38" i="4" s="1"/>
  <c r="B38" i="4"/>
  <c r="Q38" i="4" s="1"/>
  <c r="A38" i="4"/>
  <c r="K38" i="4" s="1"/>
  <c r="P37" i="4"/>
  <c r="K37" i="4"/>
  <c r="I37" i="4"/>
  <c r="H37" i="4"/>
  <c r="G37" i="4"/>
  <c r="F37" i="4"/>
  <c r="E37" i="4"/>
  <c r="D37" i="4"/>
  <c r="O37" i="4" s="1"/>
  <c r="C37" i="4"/>
  <c r="J37" i="4" s="1"/>
  <c r="B37" i="4"/>
  <c r="Q37" i="4" s="1"/>
  <c r="A37" i="4"/>
  <c r="Q36" i="4"/>
  <c r="P36" i="4"/>
  <c r="O36" i="4"/>
  <c r="K36" i="4"/>
  <c r="I36" i="4"/>
  <c r="H36" i="4"/>
  <c r="G36" i="4"/>
  <c r="F36" i="4"/>
  <c r="E36" i="4"/>
  <c r="D36" i="4"/>
  <c r="C36" i="4"/>
  <c r="J36" i="4" s="1"/>
  <c r="B36" i="4"/>
  <c r="L36" i="4" s="1"/>
  <c r="N36" i="4" s="1"/>
  <c r="A36" i="4"/>
  <c r="Q35" i="4"/>
  <c r="P35" i="4"/>
  <c r="O35" i="4"/>
  <c r="N35" i="4"/>
  <c r="L35" i="4"/>
  <c r="K35" i="4"/>
  <c r="I35" i="4"/>
  <c r="H35" i="4"/>
  <c r="G35" i="4"/>
  <c r="F35" i="4"/>
  <c r="E35" i="4"/>
  <c r="D35" i="4"/>
  <c r="C35" i="4"/>
  <c r="J35" i="4" s="1"/>
  <c r="B35" i="4"/>
  <c r="A35" i="4"/>
  <c r="P34" i="4"/>
  <c r="N34" i="4"/>
  <c r="L34" i="4"/>
  <c r="I34" i="4"/>
  <c r="H34" i="4"/>
  <c r="G34" i="4"/>
  <c r="F34" i="4"/>
  <c r="E34" i="4"/>
  <c r="D34" i="4"/>
  <c r="O34" i="4" s="1"/>
  <c r="C34" i="4"/>
  <c r="J34" i="4" s="1"/>
  <c r="B34" i="4"/>
  <c r="Q34" i="4" s="1"/>
  <c r="A34" i="4"/>
  <c r="K34" i="4" s="1"/>
  <c r="P33" i="4"/>
  <c r="I33" i="4"/>
  <c r="H33" i="4"/>
  <c r="G33" i="4"/>
  <c r="F33" i="4"/>
  <c r="E33" i="4"/>
  <c r="D33" i="4"/>
  <c r="O33" i="4" s="1"/>
  <c r="C33" i="4"/>
  <c r="J33" i="4" s="1"/>
  <c r="B33" i="4"/>
  <c r="Q33" i="4" s="1"/>
  <c r="A33" i="4"/>
  <c r="K33" i="4" s="1"/>
  <c r="Q32" i="4"/>
  <c r="P32" i="4"/>
  <c r="O32" i="4"/>
  <c r="K32" i="4"/>
  <c r="I32" i="4"/>
  <c r="H32" i="4"/>
  <c r="G32" i="4"/>
  <c r="F32" i="4"/>
  <c r="E32" i="4"/>
  <c r="D32" i="4"/>
  <c r="C32" i="4"/>
  <c r="J32" i="4" s="1"/>
  <c r="B32" i="4"/>
  <c r="L32" i="4" s="1"/>
  <c r="N32" i="4" s="1"/>
  <c r="A32" i="4"/>
  <c r="Q31" i="4"/>
  <c r="P31" i="4"/>
  <c r="O31" i="4"/>
  <c r="N31" i="4"/>
  <c r="L31" i="4"/>
  <c r="I31" i="4"/>
  <c r="H31" i="4"/>
  <c r="G31" i="4"/>
  <c r="F31" i="4"/>
  <c r="E31" i="4"/>
  <c r="D31" i="4"/>
  <c r="C31" i="4"/>
  <c r="J31" i="4" s="1"/>
  <c r="B31" i="4"/>
  <c r="A31" i="4"/>
  <c r="K31" i="4" s="1"/>
  <c r="P30" i="4"/>
  <c r="N30" i="4"/>
  <c r="L30" i="4"/>
  <c r="K30" i="4"/>
  <c r="I30" i="4"/>
  <c r="H30" i="4"/>
  <c r="G30" i="4"/>
  <c r="F30" i="4"/>
  <c r="E30" i="4"/>
  <c r="D30" i="4"/>
  <c r="O30" i="4" s="1"/>
  <c r="C30" i="4"/>
  <c r="J30" i="4" s="1"/>
  <c r="B30" i="4"/>
  <c r="Q30" i="4" s="1"/>
  <c r="A30" i="4"/>
  <c r="P29" i="4"/>
  <c r="I29" i="4"/>
  <c r="H29" i="4"/>
  <c r="G29" i="4"/>
  <c r="F29" i="4"/>
  <c r="E29" i="4"/>
  <c r="D29" i="4"/>
  <c r="O29" i="4" s="1"/>
  <c r="C29" i="4"/>
  <c r="J29" i="4" s="1"/>
  <c r="B29" i="4"/>
  <c r="Q29" i="4" s="1"/>
  <c r="A29" i="4"/>
  <c r="K29" i="4" s="1"/>
  <c r="Q28" i="4"/>
  <c r="P28" i="4"/>
  <c r="O28" i="4"/>
  <c r="K28" i="4"/>
  <c r="I28" i="4"/>
  <c r="H28" i="4"/>
  <c r="G28" i="4"/>
  <c r="F28" i="4"/>
  <c r="E28" i="4"/>
  <c r="D28" i="4"/>
  <c r="C28" i="4"/>
  <c r="J28" i="4" s="1"/>
  <c r="B28" i="4"/>
  <c r="L28" i="4" s="1"/>
  <c r="N28" i="4" s="1"/>
  <c r="A28" i="4"/>
  <c r="P27" i="4"/>
  <c r="O27" i="4"/>
  <c r="N27" i="4"/>
  <c r="L27" i="4"/>
  <c r="I27" i="4"/>
  <c r="H27" i="4"/>
  <c r="G27" i="4"/>
  <c r="F27" i="4"/>
  <c r="E27" i="4"/>
  <c r="D27" i="4"/>
  <c r="C27" i="4"/>
  <c r="J27" i="4" s="1"/>
  <c r="B27" i="4"/>
  <c r="Q27" i="4" s="1"/>
  <c r="A27" i="4"/>
  <c r="K27" i="4" s="1"/>
  <c r="P26" i="4"/>
  <c r="N26" i="4"/>
  <c r="L26" i="4"/>
  <c r="K26" i="4"/>
  <c r="I26" i="4"/>
  <c r="H26" i="4"/>
  <c r="G26" i="4"/>
  <c r="F26" i="4"/>
  <c r="E26" i="4"/>
  <c r="D26" i="4"/>
  <c r="O26" i="4" s="1"/>
  <c r="C26" i="4"/>
  <c r="J26" i="4" s="1"/>
  <c r="B26" i="4"/>
  <c r="Q26" i="4" s="1"/>
  <c r="A26" i="4"/>
  <c r="P25" i="4"/>
  <c r="I25" i="4"/>
  <c r="H25" i="4"/>
  <c r="G25" i="4"/>
  <c r="F25" i="4"/>
  <c r="E25" i="4"/>
  <c r="D25" i="4"/>
  <c r="O25" i="4" s="1"/>
  <c r="C25" i="4"/>
  <c r="J25" i="4" s="1"/>
  <c r="B25" i="4"/>
  <c r="Q25" i="4" s="1"/>
  <c r="A25" i="4"/>
  <c r="K25" i="4" s="1"/>
  <c r="Q24" i="4"/>
  <c r="P24" i="4"/>
  <c r="O24" i="4"/>
  <c r="K24" i="4"/>
  <c r="I24" i="4"/>
  <c r="H24" i="4"/>
  <c r="G24" i="4"/>
  <c r="F24" i="4"/>
  <c r="E24" i="4"/>
  <c r="D24" i="4"/>
  <c r="C24" i="4"/>
  <c r="J24" i="4" s="1"/>
  <c r="B24" i="4"/>
  <c r="L24" i="4" s="1"/>
  <c r="N24" i="4" s="1"/>
  <c r="A24" i="4"/>
  <c r="P23" i="4"/>
  <c r="O23" i="4"/>
  <c r="N23" i="4"/>
  <c r="L23" i="4"/>
  <c r="I23" i="4"/>
  <c r="H23" i="4"/>
  <c r="G23" i="4"/>
  <c r="F23" i="4"/>
  <c r="E23" i="4"/>
  <c r="D23" i="4"/>
  <c r="C23" i="4"/>
  <c r="J23" i="4" s="1"/>
  <c r="B23" i="4"/>
  <c r="Q23" i="4" s="1"/>
  <c r="A23" i="4"/>
  <c r="K23" i="4" s="1"/>
  <c r="P22" i="4"/>
  <c r="I22" i="4"/>
  <c r="H22" i="4"/>
  <c r="G22" i="4"/>
  <c r="F22" i="4"/>
  <c r="E22" i="4"/>
  <c r="D22" i="4"/>
  <c r="O22" i="4" s="1"/>
  <c r="C22" i="4"/>
  <c r="J22" i="4" s="1"/>
  <c r="B22" i="4"/>
  <c r="Q22" i="4" s="1"/>
  <c r="A22" i="4"/>
  <c r="K22" i="4" s="1"/>
  <c r="P21" i="4"/>
  <c r="AG3" i="4" s="1" a="1"/>
  <c r="AG3" i="4" s="1"/>
  <c r="I21" i="4"/>
  <c r="H21" i="4"/>
  <c r="G21" i="4"/>
  <c r="F21" i="4"/>
  <c r="E21" i="4"/>
  <c r="D21" i="4"/>
  <c r="O21" i="4" s="1"/>
  <c r="C21" i="4"/>
  <c r="J21" i="4" s="1"/>
  <c r="B21" i="4"/>
  <c r="Q21" i="4" s="1"/>
  <c r="A21" i="4"/>
  <c r="K21" i="4" s="1"/>
  <c r="I20" i="4"/>
  <c r="H20" i="4"/>
  <c r="G20" i="4"/>
  <c r="F20" i="4"/>
  <c r="E20" i="4"/>
  <c r="D20" i="4"/>
  <c r="C20" i="4"/>
  <c r="B20" i="4"/>
  <c r="A20" i="4"/>
  <c r="C7" i="4"/>
  <c r="B7" i="4"/>
  <c r="A7" i="4"/>
  <c r="B3" i="4"/>
  <c r="C3" i="4" s="1"/>
  <c r="A3" i="4"/>
  <c r="L22" i="4" l="1"/>
  <c r="N22" i="4" s="1"/>
  <c r="A10" i="4" a="1"/>
  <c r="A10" i="4" s="1"/>
  <c r="AC3" i="4" a="1"/>
  <c r="AC3" i="4" s="1"/>
  <c r="AC4" i="4" s="1" a="1"/>
  <c r="AC4" i="4" s="1"/>
  <c r="AG4" i="4" a="1"/>
  <c r="AG4" i="4" s="1"/>
  <c r="L21" i="4"/>
  <c r="N21" i="4" s="1"/>
  <c r="L25" i="4"/>
  <c r="N25" i="4" s="1"/>
  <c r="L29" i="4"/>
  <c r="N29" i="4" s="1"/>
  <c r="L33" i="4"/>
  <c r="N33" i="4" s="1"/>
  <c r="L37" i="4"/>
  <c r="N37" i="4" s="1"/>
  <c r="L41" i="4"/>
  <c r="N41" i="4" s="1"/>
  <c r="L45" i="4"/>
  <c r="N45" i="4" s="1"/>
  <c r="L46" i="4"/>
  <c r="N46" i="4" s="1"/>
  <c r="L47" i="4"/>
  <c r="N47" i="4" s="1"/>
  <c r="L48" i="4"/>
  <c r="N48" i="4" s="1"/>
  <c r="L49" i="4"/>
  <c r="N49" i="4" s="1"/>
  <c r="L50" i="4"/>
  <c r="N50" i="4" s="1"/>
  <c r="L51" i="4"/>
  <c r="N51" i="4" s="1"/>
  <c r="L52" i="4"/>
  <c r="N52" i="4" s="1"/>
  <c r="L53" i="4"/>
  <c r="N53" i="4" s="1"/>
  <c r="L54" i="4"/>
  <c r="N54" i="4" s="1"/>
  <c r="L44" i="4"/>
  <c r="N44" i="4" s="1"/>
  <c r="Y3" i="4" l="1" a="1"/>
  <c r="Y3" i="4" s="1"/>
  <c r="AG5" i="4" a="1"/>
  <c r="AG5" i="4" s="1"/>
  <c r="AG6" i="4" s="1" a="1"/>
  <c r="AG6" i="4" s="1"/>
  <c r="AC5" i="4" a="1"/>
  <c r="AC5" i="4" s="1"/>
  <c r="Y4" i="4" l="1" a="1"/>
  <c r="Y4" i="4" s="1"/>
  <c r="AC6" i="4" a="1"/>
  <c r="AC6" i="4" s="1"/>
  <c r="AG7" i="4" a="1"/>
  <c r="AG7" i="4" s="1"/>
  <c r="AG8" i="4" s="1" a="1"/>
  <c r="AG8" i="4" s="1"/>
  <c r="AC7" i="4" l="1" a="1"/>
  <c r="AC7" i="4" s="1"/>
  <c r="AC8" i="4" s="1" a="1"/>
  <c r="AC8" i="4" s="1"/>
  <c r="AG9" i="4" a="1"/>
  <c r="AG9" i="4" s="1"/>
  <c r="AG10" i="4" s="1" a="1"/>
  <c r="AG10" i="4" s="1"/>
  <c r="Y5" i="4" a="1"/>
  <c r="Y5" i="4" s="1"/>
  <c r="Y6" i="4" l="1" a="1"/>
  <c r="Y6" i="4" s="1"/>
  <c r="Y7" i="4" s="1" a="1"/>
  <c r="Y7" i="4" s="1"/>
  <c r="AG11" i="4" a="1"/>
  <c r="AG11" i="4" s="1"/>
  <c r="AC9" i="4" a="1"/>
  <c r="AC9" i="4" s="1"/>
  <c r="Y8" i="4" l="1" a="1"/>
  <c r="Y8" i="4" s="1"/>
  <c r="Y9" i="4" s="1" a="1"/>
  <c r="Y9" i="4" s="1"/>
  <c r="AG12" i="4" a="1"/>
  <c r="AG12" i="4" s="1"/>
  <c r="AC10" i="4" a="1"/>
  <c r="AC10" i="4" s="1"/>
  <c r="AC11" i="4" l="1" a="1"/>
  <c r="AC11" i="4" s="1"/>
  <c r="AC12" i="4" s="1" a="1"/>
  <c r="AC12" i="4" s="1"/>
  <c r="AC13" i="4" s="1" a="1"/>
  <c r="AC13" i="4" s="1"/>
  <c r="AC14" i="4" s="1" a="1"/>
  <c r="AC14" i="4" s="1"/>
  <c r="AC15" i="4" s="1" a="1"/>
  <c r="AC15" i="4" s="1"/>
  <c r="AC16" i="4" s="1" a="1"/>
  <c r="AC16" i="4" s="1"/>
  <c r="AC17" i="4" s="1" a="1"/>
  <c r="AC17" i="4" s="1"/>
  <c r="AC18" i="4" s="1" a="1"/>
  <c r="AC18" i="4" s="1"/>
  <c r="AC19" i="4" s="1" a="1"/>
  <c r="AC19" i="4" s="1"/>
  <c r="AC20" i="4" s="1" a="1"/>
  <c r="AC20" i="4" s="1"/>
  <c r="AC21" i="4" s="1" a="1"/>
  <c r="AC21" i="4" s="1"/>
  <c r="AC22" i="4" s="1" a="1"/>
  <c r="AC22" i="4" s="1"/>
  <c r="AC23" i="4" s="1" a="1"/>
  <c r="AC23" i="4" s="1"/>
  <c r="AC24" i="4" s="1" a="1"/>
  <c r="AC24" i="4" s="1"/>
  <c r="AC25" i="4" s="1" a="1"/>
  <c r="AC25" i="4" s="1"/>
  <c r="AC26" i="4" s="1" a="1"/>
  <c r="AC26" i="4" s="1"/>
  <c r="AC27" i="4" s="1" a="1"/>
  <c r="AC27" i="4" s="1"/>
  <c r="AC28" i="4" s="1" a="1"/>
  <c r="AC28" i="4" s="1"/>
  <c r="AC29" i="4" s="1" a="1"/>
  <c r="AC29" i="4" s="1"/>
  <c r="AC30" i="4" s="1" a="1"/>
  <c r="AC30" i="4" s="1"/>
  <c r="AC31" i="4" s="1" a="1"/>
  <c r="AC31" i="4" s="1"/>
  <c r="AC32" i="4" s="1" a="1"/>
  <c r="AC32" i="4" s="1"/>
  <c r="AC33" i="4" s="1" a="1"/>
  <c r="AC33" i="4" s="1"/>
  <c r="AC34" i="4" s="1" a="1"/>
  <c r="AC34" i="4" s="1"/>
  <c r="AC35" i="4" s="1" a="1"/>
  <c r="AC35" i="4" s="1"/>
  <c r="AC36" i="4" s="1" a="1"/>
  <c r="AC36" i="4" s="1"/>
  <c r="AC37" i="4" s="1" a="1"/>
  <c r="AC37" i="4" s="1"/>
  <c r="AC38" i="4" s="1" a="1"/>
  <c r="AC38" i="4" s="1"/>
  <c r="AC39" i="4" s="1" a="1"/>
  <c r="AC39" i="4" s="1"/>
  <c r="AC40" i="4" s="1" a="1"/>
  <c r="AC40" i="4" s="1"/>
  <c r="AC41" i="4" s="1" a="1"/>
  <c r="AC41" i="4" s="1"/>
  <c r="AC42" i="4" s="1" a="1"/>
  <c r="AC42" i="4" s="1"/>
  <c r="AC43" i="4" s="1" a="1"/>
  <c r="AC43" i="4" s="1"/>
  <c r="AC44" i="4" s="1" a="1"/>
  <c r="AC44" i="4" s="1"/>
  <c r="AG13" i="4" a="1"/>
  <c r="AG13" i="4" s="1"/>
  <c r="AG14" i="4" s="1" a="1"/>
  <c r="AG14" i="4" s="1"/>
  <c r="AG15" i="4" s="1" a="1"/>
  <c r="AG15" i="4" s="1"/>
  <c r="AG16" i="4" s="1" a="1"/>
  <c r="AG16" i="4" s="1"/>
  <c r="AG17" i="4" s="1" a="1"/>
  <c r="AG17" i="4" s="1"/>
  <c r="AG18" i="4" s="1" a="1"/>
  <c r="AG18" i="4" s="1"/>
  <c r="AG19" i="4" s="1" a="1"/>
  <c r="AG19" i="4" s="1"/>
  <c r="AG20" i="4" s="1" a="1"/>
  <c r="AG20" i="4" s="1"/>
  <c r="AG21" i="4" s="1" a="1"/>
  <c r="AG21" i="4" s="1"/>
  <c r="AG22" i="4" s="1" a="1"/>
  <c r="AG22" i="4" s="1"/>
  <c r="AG23" i="4" s="1" a="1"/>
  <c r="AG23" i="4" s="1"/>
  <c r="AG24" i="4" s="1" a="1"/>
  <c r="AG24" i="4" s="1"/>
  <c r="AG25" i="4" s="1" a="1"/>
  <c r="AG25" i="4" s="1"/>
  <c r="AG26" i="4" s="1" a="1"/>
  <c r="AG26" i="4" s="1"/>
  <c r="AG27" i="4" s="1" a="1"/>
  <c r="AG27" i="4" s="1"/>
  <c r="AG28" i="4" s="1" a="1"/>
  <c r="AG28" i="4" s="1"/>
  <c r="AG29" i="4" s="1" a="1"/>
  <c r="AG29" i="4" s="1"/>
  <c r="AG30" i="4" s="1" a="1"/>
  <c r="AG30" i="4" s="1"/>
  <c r="AG31" i="4" s="1" a="1"/>
  <c r="AG31" i="4" s="1"/>
  <c r="AG32" i="4" s="1" a="1"/>
  <c r="AG32" i="4" s="1"/>
  <c r="AG33" i="4" s="1" a="1"/>
  <c r="AG33" i="4" s="1"/>
  <c r="AG34" i="4" s="1" a="1"/>
  <c r="AG34" i="4" s="1"/>
  <c r="AG35" i="4" s="1" a="1"/>
  <c r="AG35" i="4" s="1"/>
  <c r="AG36" i="4" s="1" a="1"/>
  <c r="AG36" i="4" s="1"/>
  <c r="AG37" i="4" s="1" a="1"/>
  <c r="AG37" i="4" s="1"/>
  <c r="AG38" i="4" s="1" a="1"/>
  <c r="AG38" i="4" s="1"/>
  <c r="AG39" i="4" s="1" a="1"/>
  <c r="AG39" i="4" s="1"/>
  <c r="AG40" i="4" s="1" a="1"/>
  <c r="AG40" i="4" s="1"/>
  <c r="AG41" i="4" s="1" a="1"/>
  <c r="AG41" i="4" s="1"/>
  <c r="AG42" i="4" s="1" a="1"/>
  <c r="AG42" i="4" s="1"/>
  <c r="AG43" i="4" s="1" a="1"/>
  <c r="AG43" i="4" s="1"/>
  <c r="AG44" i="4" s="1" a="1"/>
  <c r="AG44" i="4" s="1"/>
  <c r="Y10" i="4" a="1"/>
  <c r="Y10" i="4" s="1"/>
  <c r="Y11" i="4" s="1" a="1"/>
  <c r="Y11" i="4" s="1"/>
  <c r="Y12" i="4" s="1" a="1"/>
  <c r="Y12" i="4" s="1"/>
  <c r="Y13" i="4" s="1" a="1"/>
  <c r="Y13" i="4" s="1"/>
  <c r="Y14" i="4" s="1" a="1"/>
  <c r="Y14" i="4" s="1"/>
  <c r="Y15" i="4" s="1" a="1"/>
  <c r="Y15" i="4" s="1"/>
  <c r="Y16" i="4" s="1" a="1"/>
  <c r="Y16" i="4" s="1"/>
  <c r="Y17" i="4" s="1" a="1"/>
  <c r="Y17" i="4" s="1"/>
  <c r="Y18" i="4" s="1" a="1"/>
  <c r="Y18" i="4" s="1"/>
  <c r="Y19" i="4" s="1" a="1"/>
  <c r="Y19" i="4" s="1"/>
  <c r="Y20" i="4" s="1" a="1"/>
  <c r="Y20" i="4" s="1"/>
  <c r="Y21" i="4" s="1" a="1"/>
  <c r="Y21" i="4" s="1"/>
  <c r="Y22" i="4" l="1" a="1"/>
  <c r="Y22" i="4" s="1"/>
  <c r="Y23" i="4" s="1" a="1"/>
  <c r="Y23" i="4" s="1"/>
  <c r="Y24" i="4" s="1" a="1"/>
  <c r="Y24" i="4" s="1"/>
  <c r="Y25" i="4" s="1" a="1"/>
  <c r="Y25" i="4" s="1"/>
  <c r="Y26" i="4" s="1" a="1"/>
  <c r="Y26" i="4" s="1"/>
  <c r="Y27" i="4" s="1" a="1"/>
  <c r="Y27" i="4" s="1"/>
  <c r="Y28" i="4" s="1" a="1"/>
  <c r="Y28" i="4" s="1"/>
  <c r="Y29" i="4" s="1" a="1"/>
  <c r="Y29" i="4" s="1"/>
  <c r="Y30" i="4" s="1" a="1"/>
  <c r="Y30" i="4" s="1"/>
  <c r="Y31" i="4" s="1" a="1"/>
  <c r="Y31" i="4" s="1"/>
  <c r="Y32" i="4" s="1" a="1"/>
  <c r="Y32" i="4" s="1"/>
  <c r="Y33" i="4" s="1" a="1"/>
  <c r="Y33" i="4" s="1"/>
  <c r="Y34" i="4" s="1" a="1"/>
  <c r="Y34" i="4" s="1"/>
  <c r="Y35" i="4" s="1" a="1"/>
  <c r="Y35" i="4" s="1"/>
  <c r="Y36" i="4" s="1" a="1"/>
  <c r="Y36" i="4" s="1"/>
  <c r="Y37" i="4" s="1" a="1"/>
  <c r="Y37" i="4" s="1"/>
  <c r="Y38" i="4" s="1" a="1"/>
  <c r="Y38" i="4" s="1"/>
  <c r="Y39" i="4" s="1" a="1"/>
  <c r="Y39" i="4" s="1"/>
  <c r="Y40" i="4" s="1" a="1"/>
  <c r="Y40" i="4" s="1"/>
  <c r="Y41" i="4" s="1" a="1"/>
  <c r="Y41" i="4" s="1"/>
  <c r="Y42" i="4" s="1" a="1"/>
  <c r="Y42" i="4" s="1"/>
  <c r="Y43" i="4" s="1" a="1"/>
  <c r="Y43" i="4" s="1"/>
  <c r="Y44" i="4" s="1" a="1"/>
  <c r="Y44" i="4" s="1"/>
</calcChain>
</file>

<file path=xl/sharedStrings.xml><?xml version="1.0" encoding="utf-8"?>
<sst xmlns="http://schemas.openxmlformats.org/spreadsheetml/2006/main" count="424" uniqueCount="301">
  <si>
    <t>X</t>
  </si>
  <si>
    <t>Y</t>
  </si>
  <si>
    <t>Coordinates</t>
  </si>
  <si>
    <t>Swietenia macrophylla</t>
  </si>
  <si>
    <t>Cauba</t>
  </si>
  <si>
    <t>Popular name</t>
  </si>
  <si>
    <t>Scientific name</t>
  </si>
  <si>
    <t>Lookup name</t>
  </si>
  <si>
    <t>Field Observation Date [dd.mm.yy]</t>
  </si>
  <si>
    <t>Digitalization Date [dd.mm.yyy]</t>
  </si>
  <si>
    <t>Digitalized by</t>
  </si>
  <si>
    <t>Machich</t>
  </si>
  <si>
    <t>Dead wood</t>
  </si>
  <si>
    <t>CLASS 1</t>
  </si>
  <si>
    <t>CLASS 2</t>
  </si>
  <si>
    <t>PSP Plot Number</t>
  </si>
  <si>
    <t>Tag</t>
  </si>
  <si>
    <t>Initial</t>
  </si>
  <si>
    <t>Final</t>
  </si>
  <si>
    <t>First used in outter circle</t>
  </si>
  <si>
    <t xml:space="preserve"> Observations </t>
  </si>
  <si>
    <t>Tag Number</t>
  </si>
  <si>
    <t>Species</t>
  </si>
  <si>
    <t>DBH</t>
  </si>
  <si>
    <t>Flower</t>
  </si>
  <si>
    <t>Seed</t>
  </si>
  <si>
    <t>Fruit</t>
  </si>
  <si>
    <t>Y coordinate</t>
  </si>
  <si>
    <t>X coordinate</t>
  </si>
  <si>
    <t>Jobillo</t>
  </si>
  <si>
    <t>Astoronium graveolens</t>
  </si>
  <si>
    <t>Dead Wood Class</t>
  </si>
  <si>
    <t>Dimater</t>
  </si>
  <si>
    <t>Hollow</t>
  </si>
  <si>
    <t>Trees</t>
  </si>
  <si>
    <t>Lying Deadwood</t>
  </si>
  <si>
    <t>Category</t>
  </si>
  <si>
    <t>timber</t>
  </si>
  <si>
    <t>medicinal</t>
  </si>
  <si>
    <t>habitat</t>
  </si>
  <si>
    <t>Tree Category</t>
  </si>
  <si>
    <t>Binary</t>
  </si>
  <si>
    <t>sound</t>
  </si>
  <si>
    <t>intermediate</t>
  </si>
  <si>
    <t>rotten</t>
  </si>
  <si>
    <t>Dead Wood Classes</t>
  </si>
  <si>
    <t>Description [Winrock 2013] - The machete test consists of raising the machete up to shoulder height and allowing it come down to the dead wood piece with the force of gravity. No additional force should be applied to the motion of the machete.</t>
  </si>
  <si>
    <t xml:space="preserve">If the machete does not sink into the piece (bounces off), classify it as sound. </t>
  </si>
  <si>
    <t>If the machete sinks partly into the piece, and there has been some wood loss, classify it as intermediate.</t>
  </si>
  <si>
    <t>If the machete sticks into the piece, if there is more extensive wood loss, and the piece is crumbly, classify as rotten.</t>
  </si>
  <si>
    <t>hours</t>
  </si>
  <si>
    <t>members</t>
  </si>
  <si>
    <t>hour man</t>
  </si>
  <si>
    <t>Hour man costs</t>
  </si>
  <si>
    <t>Field Reporters (team members separate with comma)</t>
  </si>
  <si>
    <t>Start time [HH:MM]</t>
  </si>
  <si>
    <t>End time  [HH:MM]</t>
  </si>
  <si>
    <t>inner</t>
  </si>
  <si>
    <t>outter</t>
  </si>
  <si>
    <t>total</t>
  </si>
  <si>
    <t>Number of tagged trees</t>
  </si>
  <si>
    <t>Acacia collinsi</t>
  </si>
  <si>
    <t>cockspur</t>
  </si>
  <si>
    <t>Aspidosperma cruentum</t>
  </si>
  <si>
    <t>My lady</t>
  </si>
  <si>
    <t>Avicenia germinans</t>
  </si>
  <si>
    <t>Black mangrove</t>
  </si>
  <si>
    <t>Astronium graveolens</t>
  </si>
  <si>
    <t>Acoelorraphe wrightii</t>
  </si>
  <si>
    <t>Palmeto</t>
  </si>
  <si>
    <t>Attalea cohune</t>
  </si>
  <si>
    <t>Cohune palm</t>
  </si>
  <si>
    <t>Brossimium alicastrum</t>
  </si>
  <si>
    <t>Ramon</t>
  </si>
  <si>
    <t>Bucida buceras</t>
  </si>
  <si>
    <t>Bullet tree</t>
  </si>
  <si>
    <t>Bysornima bucidaefolia</t>
  </si>
  <si>
    <t>Sak paj</t>
  </si>
  <si>
    <t>Bauhinia divaricata</t>
  </si>
  <si>
    <t>cow foot</t>
  </si>
  <si>
    <t>Bactris major</t>
  </si>
  <si>
    <t>Pokenoboy</t>
  </si>
  <si>
    <t>Bourreria mollis</t>
  </si>
  <si>
    <t>Wild craboo</t>
  </si>
  <si>
    <t>Bursera simaruba</t>
  </si>
  <si>
    <t>Red gumbolimbo</t>
  </si>
  <si>
    <t>Calyprantes . Cf. chytraculia</t>
  </si>
  <si>
    <t>Guayabillo</t>
  </si>
  <si>
    <t>Crysophila stauracantha</t>
  </si>
  <si>
    <t>Give and take</t>
  </si>
  <si>
    <t>Coccoloba acapulsensis</t>
  </si>
  <si>
    <t>no name</t>
  </si>
  <si>
    <t>Coccothrinax argentata</t>
  </si>
  <si>
    <t>Silver palm</t>
  </si>
  <si>
    <t>Coccoloba belizensis</t>
  </si>
  <si>
    <t>Grande betty</t>
  </si>
  <si>
    <t>Calophyllum brasiliense</t>
  </si>
  <si>
    <t>Santa Maria</t>
  </si>
  <si>
    <t>Crescentia cujete</t>
  </si>
  <si>
    <t>Calabash</t>
  </si>
  <si>
    <t>Cordia dodecandra</t>
  </si>
  <si>
    <t>Ziricote</t>
  </si>
  <si>
    <t>Conocarpus erectus</t>
  </si>
  <si>
    <t xml:space="preserve">Boton wood </t>
  </si>
  <si>
    <t>Caesalpina gaumeri</t>
  </si>
  <si>
    <t>Warree wood</t>
  </si>
  <si>
    <t>Cascabela gaumeri</t>
  </si>
  <si>
    <t>Akits</t>
  </si>
  <si>
    <t>Cojoba graciliflora</t>
  </si>
  <si>
    <t>John crow bead</t>
  </si>
  <si>
    <t>Cassia grandis</t>
  </si>
  <si>
    <t>Stinking toe</t>
  </si>
  <si>
    <t>Carapa guianensis</t>
  </si>
  <si>
    <t>bastard water wood</t>
  </si>
  <si>
    <t>Calophyllum mexicanum</t>
  </si>
  <si>
    <t>Wild caimito</t>
  </si>
  <si>
    <t>Cedrella odorata</t>
  </si>
  <si>
    <t>Ceder</t>
  </si>
  <si>
    <t>Ceiba pentandra</t>
  </si>
  <si>
    <t xml:space="preserve">Ceiba </t>
  </si>
  <si>
    <t>Cordia sebestena</t>
  </si>
  <si>
    <t>Cecropia peltata</t>
  </si>
  <si>
    <t>Trumpet tree</t>
  </si>
  <si>
    <t>Dracaena americana</t>
  </si>
  <si>
    <t>Candle wood</t>
  </si>
  <si>
    <t>Dendropandax arboreus</t>
  </si>
  <si>
    <t>White gumbolimbo</t>
  </si>
  <si>
    <t>Drypetes browneii</t>
  </si>
  <si>
    <t>male bullhoof</t>
  </si>
  <si>
    <t>Dyphisa carthaginensis</t>
  </si>
  <si>
    <t>Susuk</t>
  </si>
  <si>
    <t>Delonix regia</t>
  </si>
  <si>
    <t>Flamboiant tree</t>
  </si>
  <si>
    <t>Diospirus salcifolia</t>
  </si>
  <si>
    <t>cyril</t>
  </si>
  <si>
    <t>Exothea diphylla</t>
  </si>
  <si>
    <t>uayamcox</t>
  </si>
  <si>
    <t>Enterolobium cyclocarpum</t>
  </si>
  <si>
    <t>Guanacaste</t>
  </si>
  <si>
    <t>Ficus sp. Obtusifolia</t>
  </si>
  <si>
    <t>Amate matapalo</t>
  </si>
  <si>
    <t>ficus sp.</t>
  </si>
  <si>
    <t>Ficus</t>
  </si>
  <si>
    <t>Guettarda combsii</t>
  </si>
  <si>
    <t>Glassy wood</t>
  </si>
  <si>
    <t>Gymopodium floribundum</t>
  </si>
  <si>
    <t>Canelita</t>
  </si>
  <si>
    <t>Gymnathes lucida</t>
  </si>
  <si>
    <t xml:space="preserve">Pi </t>
  </si>
  <si>
    <t>Gaussia maya</t>
  </si>
  <si>
    <t>Maya palm</t>
  </si>
  <si>
    <t>Gliricidia sepium</t>
  </si>
  <si>
    <t>Madre cacoa</t>
  </si>
  <si>
    <t>Guazuma ulmifolia</t>
  </si>
  <si>
    <t>Bay cedar</t>
  </si>
  <si>
    <t>Pithecolombium albicans</t>
  </si>
  <si>
    <t>Wild tamarind</t>
  </si>
  <si>
    <t>Hirtella americana</t>
  </si>
  <si>
    <t>Pigeon plum</t>
  </si>
  <si>
    <t xml:space="preserve">Haemotoxylon campechianum </t>
  </si>
  <si>
    <t>Log wood</t>
  </si>
  <si>
    <t>Handroanthus chrisantus</t>
  </si>
  <si>
    <t>Canlol</t>
  </si>
  <si>
    <t>Hampea trilobata</t>
  </si>
  <si>
    <t>Moho</t>
  </si>
  <si>
    <t>krujiodentrom ferreum</t>
  </si>
  <si>
    <t>Axe master</t>
  </si>
  <si>
    <t>Lonchocarpus castilloii</t>
  </si>
  <si>
    <t>Licaria peckii</t>
  </si>
  <si>
    <t>Timber sweet</t>
  </si>
  <si>
    <t>Laguncularia rasemosa</t>
  </si>
  <si>
    <t xml:space="preserve">White mangrove </t>
  </si>
  <si>
    <t>Lonchocarpus rugosus</t>
  </si>
  <si>
    <t xml:space="preserve">Canasin </t>
  </si>
  <si>
    <t>Luehea speciosa</t>
  </si>
  <si>
    <t>Mountain Moho</t>
  </si>
  <si>
    <t>Laethia thamnia</t>
  </si>
  <si>
    <t>Night perfume</t>
  </si>
  <si>
    <t>Lysiloma latisiliquum</t>
  </si>
  <si>
    <t>Tzalam</t>
  </si>
  <si>
    <t>Manilkara chicle</t>
  </si>
  <si>
    <t>Sapodilla</t>
  </si>
  <si>
    <t>Mosannona depressa</t>
  </si>
  <si>
    <t>Elemuy</t>
  </si>
  <si>
    <t>Matayba oppositifolia</t>
  </si>
  <si>
    <t>Wild kinep</t>
  </si>
  <si>
    <t>Black poision wood</t>
  </si>
  <si>
    <t>Myrcianthes fragrans</t>
  </si>
  <si>
    <t>Ouratea lucens</t>
  </si>
  <si>
    <t>Laurel</t>
  </si>
  <si>
    <t>Nectandra Cf. coreacea</t>
  </si>
  <si>
    <t>Laurel macho</t>
  </si>
  <si>
    <t>Ormosio sp.</t>
  </si>
  <si>
    <t>Hormigo</t>
  </si>
  <si>
    <t>Pauteria amygdalina</t>
  </si>
  <si>
    <t>Red silion</t>
  </si>
  <si>
    <t>Pachira aquatica</t>
  </si>
  <si>
    <t>Provision tree/ santo domingo</t>
  </si>
  <si>
    <t>Pauteria  campechiana</t>
  </si>
  <si>
    <t>Mammee cirella</t>
  </si>
  <si>
    <t>Protium copal</t>
  </si>
  <si>
    <t>Copal</t>
  </si>
  <si>
    <t>Pimenta dioica</t>
  </si>
  <si>
    <t>Allspice</t>
  </si>
  <si>
    <t>Pseudbombax ellipticum</t>
  </si>
  <si>
    <t>Mapola</t>
  </si>
  <si>
    <t>Piper jacquemontanum</t>
  </si>
  <si>
    <t>Spanish elder</t>
  </si>
  <si>
    <t>Plumeria optusa</t>
  </si>
  <si>
    <t>May flower</t>
  </si>
  <si>
    <t>Pauteria reticulata</t>
  </si>
  <si>
    <t>Sapotillo</t>
  </si>
  <si>
    <t>Pseudophoenix sargentii</t>
  </si>
  <si>
    <t>Kuka palm</t>
  </si>
  <si>
    <t>pseudolmedia spuria</t>
  </si>
  <si>
    <t>Wild  cherry</t>
  </si>
  <si>
    <t>Platymiscium dimorphandrum</t>
  </si>
  <si>
    <t>Granadillo</t>
  </si>
  <si>
    <t>Piscidia piscipula</t>
  </si>
  <si>
    <t>Dog wood</t>
  </si>
  <si>
    <t>Rinnorea. guatemalensis</t>
  </si>
  <si>
    <t>Wild coffee</t>
  </si>
  <si>
    <t>Rhizophora mangle</t>
  </si>
  <si>
    <t>Red mangrove</t>
  </si>
  <si>
    <t>Roystonea regia</t>
  </si>
  <si>
    <t xml:space="preserve">Royal palm </t>
  </si>
  <si>
    <t>Simaruba amara</t>
  </si>
  <si>
    <t>Negrito</t>
  </si>
  <si>
    <t>Swartzia cubensis</t>
  </si>
  <si>
    <t>katalox</t>
  </si>
  <si>
    <t>Tabernaemontana donnell smithii</t>
  </si>
  <si>
    <t>Horse balls</t>
  </si>
  <si>
    <t>Sideroxylon foetidissimum</t>
  </si>
  <si>
    <t>cream tree</t>
  </si>
  <si>
    <t>Sweitenia macrophylla</t>
  </si>
  <si>
    <t>Mahogany</t>
  </si>
  <si>
    <t>Sabal mauritiformis</t>
  </si>
  <si>
    <t>Bay leaf</t>
  </si>
  <si>
    <t>Semialarium mexicanum</t>
  </si>
  <si>
    <t>Palo de rosa</t>
  </si>
  <si>
    <t>Spondias mombin</t>
  </si>
  <si>
    <t>Hog plum</t>
  </si>
  <si>
    <t>Simira salvadorensis</t>
  </si>
  <si>
    <t>Red wood</t>
  </si>
  <si>
    <t>Sebastiana tuerckheimiana</t>
  </si>
  <si>
    <t>White poision wood</t>
  </si>
  <si>
    <t>Trema micrantha</t>
  </si>
  <si>
    <t>Capulin</t>
  </si>
  <si>
    <t>Talisia mollis</t>
  </si>
  <si>
    <t>uayum</t>
  </si>
  <si>
    <t>Trophis racemosa</t>
  </si>
  <si>
    <t>Red ramon</t>
  </si>
  <si>
    <t>Thrinax radiata</t>
  </si>
  <si>
    <t>Chit palm</t>
  </si>
  <si>
    <t>Tabernaemontan alba</t>
  </si>
  <si>
    <t>Dog balls</t>
  </si>
  <si>
    <t>Trichilia minutiflora</t>
  </si>
  <si>
    <t>wild lime</t>
  </si>
  <si>
    <t>Thouinia paucidentata</t>
  </si>
  <si>
    <t>Dzol</t>
  </si>
  <si>
    <t>vitex gaumeri</t>
  </si>
  <si>
    <t>fiddle wood</t>
  </si>
  <si>
    <t>xylopia frutesense</t>
  </si>
  <si>
    <t>Pole wood</t>
  </si>
  <si>
    <t>Zanthoxylum caribaeum</t>
  </si>
  <si>
    <t>Zinanche</t>
  </si>
  <si>
    <t>Zygia cognata</t>
  </si>
  <si>
    <t>Turttle bon</t>
  </si>
  <si>
    <t>Zuelania guidonia</t>
  </si>
  <si>
    <t>Water wood tamai</t>
  </si>
  <si>
    <t>y</t>
  </si>
  <si>
    <t>n</t>
  </si>
  <si>
    <t>Metopium brownei</t>
  </si>
  <si>
    <t>Coccoloba diversifolia</t>
  </si>
  <si>
    <t>Bob small leaf</t>
  </si>
  <si>
    <t>Uknown</t>
  </si>
  <si>
    <t>Unknown</t>
  </si>
  <si>
    <t>Erythoxylum guatemalensis</t>
  </si>
  <si>
    <t>Chokche</t>
  </si>
  <si>
    <t>POM(cm)</t>
  </si>
  <si>
    <t>DATA COPY AND MANIPULATION</t>
  </si>
  <si>
    <t>DBH(&gt;25)</t>
  </si>
  <si>
    <t>DBH inner</t>
  </si>
  <si>
    <t>Count_cat</t>
  </si>
  <si>
    <t>Sum of Count_cat</t>
  </si>
  <si>
    <t>Row Labels</t>
  </si>
  <si>
    <t>Grand Total</t>
  </si>
  <si>
    <t>unknown</t>
  </si>
  <si>
    <t>Most occuring tree</t>
  </si>
  <si>
    <t>List of timber species</t>
  </si>
  <si>
    <t>Timber species</t>
  </si>
  <si>
    <t>unique</t>
  </si>
  <si>
    <t>List of flowering trees</t>
  </si>
  <si>
    <t>List of trees with fruits</t>
  </si>
  <si>
    <t>Trees with Flower</t>
  </si>
  <si>
    <t>Trees with Fruit</t>
  </si>
  <si>
    <t>FALSE</t>
  </si>
  <si>
    <t>TRUE</t>
  </si>
  <si>
    <t>Is Deadwood?</t>
  </si>
  <si>
    <t>Count_dead</t>
  </si>
  <si>
    <t>Sum of Count_dead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</si>
</sst>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h]:mm:ss;@"/>
  </numFmts>
  <fonts count="23">
    <font>
      <sz val="11"/>
      <color theme="1"/>
      <name val="Calibri"/>
      <family val="2"/>
      <scheme val="minor"/>
    </font>
    <font>
      <b/>
      <sz val="12"/>
      <color theme="1"/>
      <name val="Calibri"/>
      <family val="2"/>
      <scheme val="minor"/>
    </font>
    <font>
      <b/>
      <sz val="14"/>
      <color theme="1"/>
      <name val="Calibri"/>
      <family val="2"/>
      <scheme val="minor"/>
    </font>
    <font>
      <sz val="10"/>
      <color rgb="FF000000"/>
      <name val="Arial"/>
      <family val="2"/>
    </font>
    <font>
      <sz val="11"/>
      <name val="Calibri"/>
      <charset val="134"/>
    </font>
    <font>
      <sz val="11"/>
      <color indexed="8"/>
      <name val="Arial"/>
      <family val="2"/>
    </font>
    <font>
      <b/>
      <sz val="11"/>
      <color indexed="9"/>
      <name val="Arial"/>
      <family val="2"/>
    </font>
    <font>
      <sz val="11"/>
      <color indexed="10"/>
      <name val="Arial"/>
      <family val="2"/>
    </font>
    <font>
      <i/>
      <sz val="11"/>
      <color indexed="23"/>
      <name val="Arial"/>
      <family val="2"/>
    </font>
    <font>
      <b/>
      <sz val="11"/>
      <color indexed="8"/>
      <name val="Arial"/>
      <family val="2"/>
    </font>
    <font>
      <sz val="11"/>
      <color indexed="9"/>
      <name val="Arial"/>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1"/>
      <color theme="0"/>
      <name val="Calibri"/>
      <family val="2"/>
      <scheme val="minor"/>
    </font>
  </fonts>
  <fills count="4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9CCE4"/>
      </patternFill>
    </fill>
    <fill>
      <patternFill patternType="solid">
        <fgColor rgb="FFE6B9B8"/>
      </patternFill>
    </fill>
    <fill>
      <patternFill patternType="solid">
        <fgColor rgb="FFD6E3BC"/>
      </patternFill>
    </fill>
    <fill>
      <patternFill patternType="solid">
        <fgColor rgb="FFCBC0D9"/>
      </patternFill>
    </fill>
    <fill>
      <patternFill patternType="solid">
        <fgColor rgb="FFB7DDE8"/>
      </patternFill>
    </fill>
    <fill>
      <patternFill patternType="solid">
        <fgColor rgb="FFFBD4B4"/>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rgb="FFED65D3"/>
        <bgColor indexed="64"/>
      </patternFill>
    </fill>
  </fills>
  <borders count="17">
    <border>
      <left/>
      <right/>
      <top/>
      <bottom/>
      <diagonal/>
    </border>
    <border>
      <left style="thin">
        <color indexed="64"/>
      </left>
      <right style="thin">
        <color indexed="64"/>
      </right>
      <top/>
      <bottom style="thin">
        <color indexed="64"/>
      </bottom>
      <diagonal/>
    </border>
    <border>
      <left/>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
      <left/>
      <right style="thick">
        <color indexed="64"/>
      </right>
      <top style="thick">
        <color indexed="64"/>
      </top>
      <bottom style="thick">
        <color indexed="64"/>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rgb="FF5181BD"/>
      </bottom>
      <diagonal/>
    </border>
    <border>
      <left/>
      <right/>
      <top/>
      <bottom style="thick">
        <color rgb="FFA8C0DE"/>
      </bottom>
      <diagonal/>
    </border>
    <border>
      <left/>
      <right/>
      <top/>
      <bottom style="medium">
        <color rgb="FF96B3D7"/>
      </bottom>
      <diagonal/>
    </border>
    <border>
      <left/>
      <right/>
      <top style="thin">
        <color rgb="FF5181BD"/>
      </top>
      <bottom style="double">
        <color rgb="FF5181BD"/>
      </bottom>
      <diagonal/>
    </border>
  </borders>
  <cellStyleXfs count="44">
    <xf numFmtId="0" fontId="0" fillId="0" borderId="0"/>
    <xf numFmtId="0" fontId="4" fillId="0" borderId="0">
      <alignment vertical="center"/>
    </xf>
    <xf numFmtId="0" fontId="5" fillId="0" borderId="0"/>
    <xf numFmtId="0" fontId="5"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0" fillId="35"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39" borderId="0" applyNumberFormat="0" applyBorder="0" applyAlignment="0" applyProtection="0"/>
    <xf numFmtId="0" fontId="10" fillId="40" borderId="0" applyNumberFormat="0" applyBorder="0" applyAlignment="0" applyProtection="0"/>
    <xf numFmtId="0" fontId="13" fillId="0" borderId="0" applyNumberFormat="0" applyFill="0" applyBorder="0" applyAlignment="0" applyProtection="0"/>
    <xf numFmtId="0" fontId="14" fillId="0" borderId="13"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6" fillId="15" borderId="11" applyNumberFormat="0" applyAlignment="0" applyProtection="0"/>
    <xf numFmtId="0" fontId="9" fillId="0" borderId="16" applyNumberFormat="0" applyFill="0" applyAlignment="0" applyProtection="0"/>
    <xf numFmtId="0" fontId="5" fillId="16" borderId="12" applyNumberFormat="0" applyFont="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17" fillId="14" borderId="8" applyNumberFormat="0" applyAlignment="0" applyProtection="0"/>
    <xf numFmtId="0" fontId="18" fillId="13" borderId="8" applyNumberFormat="0" applyAlignment="0" applyProtection="0"/>
    <xf numFmtId="0" fontId="19" fillId="14" borderId="9" applyNumberFormat="0" applyAlignment="0" applyProtection="0"/>
    <xf numFmtId="0" fontId="20" fillId="12" borderId="0" applyNumberFormat="0" applyBorder="0" applyAlignment="0" applyProtection="0"/>
    <xf numFmtId="0" fontId="21" fillId="0" borderId="10" applyNumberFormat="0" applyFill="0" applyAlignment="0" applyProtection="0"/>
  </cellStyleXfs>
  <cellXfs count="37">
    <xf numFmtId="0" fontId="0" fillId="0" borderId="0" xfId="0"/>
    <xf numFmtId="0" fontId="1" fillId="0" borderId="0" xfId="0" applyFont="1" applyFill="1" applyBorder="1" applyAlignment="1">
      <alignment horizontal="right" vertical="center"/>
    </xf>
    <xf numFmtId="0" fontId="0" fillId="0" borderId="0" xfId="0" applyFill="1"/>
    <xf numFmtId="0" fontId="0" fillId="3" borderId="1" xfId="0" applyFill="1" applyBorder="1"/>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4" xfId="0" applyFont="1" applyFill="1" applyBorder="1" applyAlignment="1">
      <alignment horizontal="right" vertical="center"/>
    </xf>
    <xf numFmtId="0" fontId="1" fillId="2" borderId="5" xfId="0" applyFont="1" applyFill="1" applyBorder="1" applyAlignment="1">
      <alignment horizontal="right" vertical="center"/>
    </xf>
    <xf numFmtId="0" fontId="1" fillId="2" borderId="6" xfId="0" applyFont="1" applyFill="1" applyBorder="1" applyAlignment="1">
      <alignment horizontal="right" vertical="center"/>
    </xf>
    <xf numFmtId="0" fontId="1" fillId="0" borderId="7" xfId="0" applyFont="1" applyBorder="1" applyAlignment="1">
      <alignment horizontal="center"/>
    </xf>
    <xf numFmtId="0" fontId="1" fillId="0" borderId="7" xfId="0" applyFont="1" applyFill="1" applyBorder="1" applyAlignment="1">
      <alignment horizontal="center"/>
    </xf>
    <xf numFmtId="0" fontId="2" fillId="4" borderId="0" xfId="0" applyFont="1" applyFill="1"/>
    <xf numFmtId="0" fontId="0" fillId="4" borderId="0" xfId="0" applyFill="1"/>
    <xf numFmtId="0" fontId="2" fillId="6" borderId="0" xfId="0" applyFont="1" applyFill="1"/>
    <xf numFmtId="0" fontId="0" fillId="6" borderId="0" xfId="0" applyFill="1"/>
    <xf numFmtId="0" fontId="1" fillId="7" borderId="2" xfId="0" applyFont="1" applyFill="1" applyBorder="1" applyAlignment="1">
      <alignment horizontal="right" vertical="center"/>
    </xf>
    <xf numFmtId="0" fontId="1" fillId="7" borderId="5" xfId="0" applyFont="1" applyFill="1" applyBorder="1" applyAlignment="1">
      <alignment horizontal="right" vertical="center"/>
    </xf>
    <xf numFmtId="0" fontId="0" fillId="5" borderId="0" xfId="0" applyFill="1"/>
    <xf numFmtId="0" fontId="3" fillId="0" borderId="0" xfId="0" applyFont="1"/>
    <xf numFmtId="0" fontId="0" fillId="0" borderId="0" xfId="0" applyFill="1" applyBorder="1"/>
    <xf numFmtId="20" fontId="0" fillId="0" borderId="0" xfId="0" applyNumberFormat="1" applyFill="1"/>
    <xf numFmtId="164" fontId="0" fillId="0" borderId="0" xfId="0" applyNumberFormat="1"/>
    <xf numFmtId="0" fontId="0" fillId="8" borderId="0" xfId="0" applyFill="1"/>
    <xf numFmtId="0" fontId="0" fillId="9" borderId="0" xfId="0" applyFill="1"/>
    <xf numFmtId="0" fontId="0" fillId="0" borderId="0" xfId="0" applyNumberFormat="1"/>
    <xf numFmtId="14" fontId="0" fillId="0" borderId="0" xfId="0" applyNumberFormat="1" applyFill="1"/>
    <xf numFmtId="0" fontId="5" fillId="0" borderId="0" xfId="2"/>
    <xf numFmtId="0" fontId="5" fillId="0" borderId="0" xfId="2"/>
    <xf numFmtId="0" fontId="5" fillId="0" borderId="0" xfId="2"/>
    <xf numFmtId="2" fontId="0" fillId="0" borderId="0" xfId="0" applyNumberFormat="1"/>
    <xf numFmtId="0" fontId="0" fillId="0" borderId="0" xfId="0" pivotButton="1"/>
    <xf numFmtId="0" fontId="0" fillId="0" borderId="0" xfId="0" applyAlignment="1">
      <alignment horizontal="left"/>
    </xf>
    <xf numFmtId="0" fontId="0" fillId="41" borderId="0" xfId="0" applyFill="1"/>
    <xf numFmtId="0" fontId="0" fillId="42" borderId="0" xfId="0" applyFill="1"/>
    <xf numFmtId="0" fontId="0" fillId="43" borderId="0" xfId="0" applyFill="1"/>
    <xf numFmtId="0" fontId="0" fillId="44" borderId="0" xfId="0" applyFill="1"/>
    <xf numFmtId="0" fontId="22" fillId="5" borderId="0" xfId="0" applyFont="1" applyFill="1"/>
  </cellXfs>
  <cellStyles count="44">
    <cellStyle name="20% - 强调文字颜色 1" xfId="3"/>
    <cellStyle name="20% - 强调文字颜色 2" xfId="4"/>
    <cellStyle name="20% - 强调文字颜色 3" xfId="5"/>
    <cellStyle name="20% - 强调文字颜色 4" xfId="6"/>
    <cellStyle name="20% - 强调文字颜色 5" xfId="7"/>
    <cellStyle name="20% - 强调文字颜色 6" xfId="8"/>
    <cellStyle name="40% - 强调文字颜色 1" xfId="9"/>
    <cellStyle name="40% - 强调文字颜色 2" xfId="10"/>
    <cellStyle name="40% - 强调文字颜色 3" xfId="11"/>
    <cellStyle name="40% - 强调文字颜色 4" xfId="12"/>
    <cellStyle name="40% - 强调文字颜色 5" xfId="13"/>
    <cellStyle name="40% - 强调文字颜色 6" xfId="14"/>
    <cellStyle name="60% - 强调文字颜色 1" xfId="15"/>
    <cellStyle name="60% - 强调文字颜色 2" xfId="16"/>
    <cellStyle name="60% - 强调文字颜色 3" xfId="17"/>
    <cellStyle name="60% - 强调文字颜色 4" xfId="18"/>
    <cellStyle name="60% - 强调文字颜色 5" xfId="19"/>
    <cellStyle name="60% - 强调文字颜色 6" xfId="20"/>
    <cellStyle name="Normal" xfId="0" builtinId="0"/>
    <cellStyle name="Normal 2" xfId="1"/>
    <cellStyle name="Normal 3" xfId="2"/>
    <cellStyle name="好" xfId="21"/>
    <cellStyle name="差" xfId="22"/>
    <cellStyle name="强调文字颜色 1" xfId="23"/>
    <cellStyle name="强调文字颜色 2" xfId="24"/>
    <cellStyle name="强调文字颜色 3" xfId="25"/>
    <cellStyle name="强调文字颜色 4" xfId="26"/>
    <cellStyle name="强调文字颜色 5" xfId="27"/>
    <cellStyle name="强调文字颜色 6" xfId="28"/>
    <cellStyle name="标题" xfId="29"/>
    <cellStyle name="标题 1" xfId="30"/>
    <cellStyle name="标题 2" xfId="31"/>
    <cellStyle name="标题 3" xfId="32"/>
    <cellStyle name="标题 4" xfId="33"/>
    <cellStyle name="检查单元格" xfId="34"/>
    <cellStyle name="汇总" xfId="35"/>
    <cellStyle name="注释" xfId="36"/>
    <cellStyle name="解释性文本" xfId="37"/>
    <cellStyle name="警告文本" xfId="38"/>
    <cellStyle name="计算" xfId="39"/>
    <cellStyle name="输入" xfId="40"/>
    <cellStyle name="输出" xfId="41"/>
    <cellStyle name="适中" xfId="42"/>
    <cellStyle name="链接单元格" xfId="43"/>
  </cellStyles>
  <dxfs count="6">
    <dxf>
      <font>
        <b val="0"/>
        <i val="0"/>
        <strike val="0"/>
        <condense val="0"/>
        <extend val="0"/>
        <outline val="0"/>
        <shadow val="0"/>
        <u val="none"/>
        <vertAlign val="baseline"/>
        <sz val="10"/>
        <color rgb="FF000000"/>
        <name val="Arial"/>
        <scheme val="none"/>
      </font>
    </dxf>
    <dxf>
      <font>
        <b val="0"/>
        <i val="0"/>
        <strike val="0"/>
        <condense val="0"/>
        <extend val="0"/>
        <outline val="0"/>
        <shadow val="0"/>
        <u val="none"/>
        <vertAlign val="baseline"/>
        <sz val="10"/>
        <color rgb="FF000000"/>
        <name val="Arial"/>
        <scheme val="none"/>
      </font>
    </dxf>
    <dxf>
      <numFmt numFmtId="0" formatCode="General"/>
    </dxf>
    <dxf>
      <border outline="0">
        <top style="thin">
          <color indexed="64"/>
        </top>
      </border>
    </dxf>
    <dxf>
      <border outline="0">
        <bottom style="thin">
          <color indexed="64"/>
        </bottom>
      </border>
    </dxf>
    <dxf>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2" defaultPivotStyle="PivotStyleLight16"/>
  <colors>
    <mruColors>
      <color rgb="FFED65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PSP_#####_SFB.xlsx]Analysis!PivotTable1</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Tree categories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Analysis!$U$3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E8D-44D6-B044-68FB8485472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E8D-44D6-B044-68FB8485472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E8D-44D6-B044-68FB8485472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E8D-44D6-B044-68FB848547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Analysis!$T$4:$T$8</c:f>
              <c:strCache>
                <c:ptCount val="4"/>
                <c:pt idx="0">
                  <c:v>habitat</c:v>
                </c:pt>
                <c:pt idx="1">
                  <c:v>medicinal</c:v>
                </c:pt>
                <c:pt idx="2">
                  <c:v>timber</c:v>
                </c:pt>
                <c:pt idx="3">
                  <c:v>unknown</c:v>
                </c:pt>
              </c:strCache>
            </c:strRef>
          </c:cat>
          <c:val>
            <c:numRef>
              <c:f>Analysis!$U$4:$U$8</c:f>
              <c:numCache>
                <c:formatCode>General</c:formatCode>
                <c:ptCount val="4"/>
                <c:pt idx="0">
                  <c:v>20</c:v>
                </c:pt>
                <c:pt idx="1">
                  <c:v>2</c:v>
                </c:pt>
                <c:pt idx="2">
                  <c:v>4</c:v>
                </c:pt>
                <c:pt idx="3">
                  <c:v>6</c:v>
                </c:pt>
              </c:numCache>
            </c:numRef>
          </c:val>
          <c:extLst>
            <c:ext xmlns:c16="http://schemas.microsoft.com/office/drawing/2014/chart" uri="{C3380CC4-5D6E-409C-BE32-E72D297353CC}">
              <c16:uniqueId val="{00000008-1E8D-44D6-B044-68FB84854724}"/>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PSP_#####_SFB.xlsx]Analysis!PivotTable4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Deadwood proportion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pivotFmt>
      <c:pivotFmt>
        <c:idx val="5"/>
        <c:spPr>
          <a:solidFill>
            <a:schemeClr val="accent1"/>
          </a:solidFill>
          <a:ln>
            <a:noFill/>
          </a:ln>
          <a:effectLst>
            <a:outerShdw blurRad="254000" sx="102000" sy="102000" algn="ctr" rotWithShape="0">
              <a:prstClr val="black">
                <a:alpha val="20000"/>
              </a:prstClr>
            </a:outerShdw>
          </a:effectLst>
        </c:spPr>
        <c:marker>
          <c:symbol val="none"/>
        </c:marke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F-4083-9B2B-82F848FEF1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F-4083-9B2B-82F848FEF1D9}"/>
              </c:ext>
            </c:extLst>
          </c:dPt>
          <c:dLbls>
            <c:delete val="1"/>
          </c:dLbls>
          <c:cat>
            <c:strRef>
              <c:f>Analysis!$V$4:$V$6</c:f>
              <c:strCache>
                <c:ptCount val="2"/>
                <c:pt idx="0">
                  <c:v>FALSE</c:v>
                </c:pt>
                <c:pt idx="1">
                  <c:v>TRUE</c:v>
                </c:pt>
              </c:strCache>
            </c:strRef>
          </c:cat>
          <c:val>
            <c:numRef>
              <c:f>Analysis!$W$4:$W$6</c:f>
              <c:numCache>
                <c:formatCode>General</c:formatCode>
                <c:ptCount val="2"/>
                <c:pt idx="0">
                  <c:v>27</c:v>
                </c:pt>
                <c:pt idx="1">
                  <c:v>5</c:v>
                </c:pt>
              </c:numCache>
            </c:numRef>
          </c:val>
          <c:extLst>
            <c:ext xmlns:c16="http://schemas.microsoft.com/office/drawing/2014/chart" uri="{C3380CC4-5D6E-409C-BE32-E72D297353CC}">
              <c16:uniqueId val="{00000000-FD36-4421-BEDC-FC6A8A75B4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wrap="square" lIns="0" tIns="0" rIns="0" bIns="0" anchor="ctr" anchorCtr="1"/>
          <a:lstStyle/>
          <a:p>
            <a:pPr algn="ctr">
              <a:defRPr/>
            </a:pPr>
            <a:r>
              <a:rPr lang="en-US"/>
              <a:t>DBH distribution ≥ 25 cm</a:t>
            </a:r>
          </a:p>
        </cx:rich>
      </cx:tx>
    </cx:title>
    <cx:plotArea>
      <cx:plotAreaRegion>
        <cx:series layoutId="clusteredColumn" uniqueId="{BF3AA216-D3AA-45C6-8D9D-6325ED4E8F18}">
          <cx:dataId val="0"/>
          <cx:layoutPr>
            <cx:binning intervalClosed="r" underflow="25">
              <cx:binSize val="1"/>
            </cx:binning>
          </cx:layoutPr>
        </cx:series>
      </cx:plotAreaRegion>
      <cx:axis id="0">
        <cx:catScaling gapWidth="0"/>
        <cx:title>
          <cx:tx>
            <cx:rich>
              <a:bodyPr spcFirstLastPara="1" vertOverflow="ellipsis" wrap="square" lIns="0" tIns="0" rIns="0" bIns="0" anchor="ctr" anchorCtr="1"/>
              <a:lstStyle/>
              <a:p>
                <a:pPr algn="ctr">
                  <a:defRPr/>
                </a:pPr>
                <a:r>
                  <a:rPr lang="en-US"/>
                  <a:t>DBH [cm]</a:t>
                </a:r>
              </a:p>
            </cx:rich>
          </cx:tx>
        </cx:title>
        <cx:tickLabels/>
      </cx:axis>
      <cx:axis id="1">
        <cx:valScaling/>
        <cx:title>
          <cx:tx>
            <cx:rich>
              <a:bodyPr spcFirstLastPara="1" vertOverflow="ellipsis" wrap="square" lIns="0" tIns="0" rIns="0" bIns="0" anchor="ctr" anchorCtr="1"/>
              <a:lstStyle/>
              <a:p>
                <a:pPr algn="ctr">
                  <a:defRPr/>
                </a:pPr>
                <a:r>
                  <a:rPr lang="en-US"/>
                  <a:t>Number of trees</a:t>
                </a:r>
              </a:p>
            </cx:rich>
          </cx:tx>
        </cx:title>
        <cx:majorGridlines/>
        <cx:tickLabels/>
        <cx:txPr>
          <a:bodyPr spcFirstLastPara="1" vertOverflow="ellipsis" wrap="square" lIns="0" tIns="0" rIns="0" bIns="0" anchor="ctr" anchorCtr="1"/>
          <a:lstStyle/>
          <a:p>
            <a:pPr>
              <a:defRPr/>
            </a:pPr>
            <a:endParaRPr lang="en-US"/>
          </a:p>
        </cx:txPr>
      </cx:axis>
    </cx:plotArea>
  </cx:chart>
  <cx:spPr>
    <a:ln>
      <a:solidFill>
        <a:schemeClr val="tx1"/>
      </a:solidFill>
    </a:ln>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wrap="square" lIns="0" tIns="0" rIns="0" bIns="0" anchor="ctr" anchorCtr="1"/>
          <a:lstStyle/>
          <a:p>
            <a:pPr algn="ctr">
              <a:defRPr/>
            </a:pPr>
            <a:r>
              <a:rPr lang="en-US"/>
              <a:t>DBH distribution inner plot ≥ 6 cm</a:t>
            </a:r>
          </a:p>
        </cx:rich>
      </cx:tx>
    </cx:title>
    <cx:plotArea>
      <cx:plotAreaRegion>
        <cx:series layoutId="clusteredColumn" uniqueId="{3271293E-4A13-495F-B3DD-26462A8BD614}">
          <cx:dataId val="0"/>
          <cx:layoutPr>
            <cx:binning intervalClosed="r" underflow="6">
              <cx:binSize val="1"/>
            </cx:binning>
          </cx:layoutPr>
        </cx:series>
      </cx:plotAreaRegion>
      <cx:axis id="0">
        <cx:catScaling gapWidth="0"/>
        <cx:title>
          <cx:tx>
            <cx:rich>
              <a:bodyPr spcFirstLastPara="1" vertOverflow="ellipsis" wrap="square" lIns="0" tIns="0" rIns="0" bIns="0" anchor="ctr" anchorCtr="1"/>
              <a:lstStyle/>
              <a:p>
                <a:pPr algn="ctr">
                  <a:defRPr/>
                </a:pPr>
                <a:r>
                  <a:rPr lang="en-US"/>
                  <a:t>DBH [cm]</a:t>
                </a:r>
              </a:p>
            </cx:rich>
          </cx:tx>
        </cx:title>
        <cx:tickLabels/>
      </cx:axis>
      <cx:axis id="1">
        <cx:valScaling/>
        <cx:title>
          <cx:tx>
            <cx:rich>
              <a:bodyPr spcFirstLastPara="1" vertOverflow="ellipsis" wrap="square" lIns="0" tIns="0" rIns="0" bIns="0" anchor="ctr" anchorCtr="1"/>
              <a:lstStyle/>
              <a:p>
                <a:pPr algn="ctr">
                  <a:defRPr/>
                </a:pPr>
                <a:r>
                  <a:rPr lang="en-US"/>
                  <a:t>Number of trees</a:t>
                </a:r>
              </a:p>
            </cx:rich>
          </cx:tx>
        </cx:title>
        <cx:majorGridlines/>
        <cx:tickLabels/>
      </cx:axis>
    </cx:plotArea>
  </cx:chart>
  <cx:spPr>
    <a:ln>
      <a:solidFill>
        <a:schemeClr val="tx1"/>
      </a:solid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260350</xdr:colOff>
      <xdr:row>0</xdr:row>
      <xdr:rowOff>104775</xdr:rowOff>
    </xdr:from>
    <xdr:to>
      <xdr:col>10</xdr:col>
      <xdr:colOff>565150</xdr:colOff>
      <xdr:row>15</xdr:row>
      <xdr:rowOff>85725</xdr:rowOff>
    </xdr:to>
    <mc:AlternateContent xmlns:mc="http://schemas.openxmlformats.org/markup-compatibility/2006">
      <mc:Choice xmlns:cx1="http://schemas.microsoft.com/office/drawing/2015/9/8/chartex" Requires="cx1">
        <xdr:graphicFrame macro="">
          <xdr:nvGraphicFramePr>
            <xdr:cNvPr id="8" name="Chart 7"/>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69850</xdr:colOff>
      <xdr:row>0</xdr:row>
      <xdr:rowOff>111125</xdr:rowOff>
    </xdr:from>
    <xdr:to>
      <xdr:col>18</xdr:col>
      <xdr:colOff>374650</xdr:colOff>
      <xdr:row>15</xdr:row>
      <xdr:rowOff>92075</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546100</xdr:colOff>
      <xdr:row>9</xdr:row>
      <xdr:rowOff>79374</xdr:rowOff>
    </xdr:from>
    <xdr:to>
      <xdr:col>23</xdr:col>
      <xdr:colOff>317500</xdr:colOff>
      <xdr:row>26</xdr:row>
      <xdr:rowOff>6349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539750</xdr:colOff>
      <xdr:row>26</xdr:row>
      <xdr:rowOff>168275</xdr:rowOff>
    </xdr:from>
    <xdr:to>
      <xdr:col>23</xdr:col>
      <xdr:colOff>444500</xdr:colOff>
      <xdr:row>41</xdr:row>
      <xdr:rowOff>149225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ohagen" refreshedDate="43600.062489930555" createdVersion="6" refreshedVersion="6" minRefreshableVersion="3" recordCount="880">
  <cacheSource type="worksheet">
    <worksheetSource ref="L20:M900" sheet="Analysis"/>
  </cacheSource>
  <cacheFields count="2">
    <cacheField name="Category" numFmtId="0">
      <sharedItems containsMixedTypes="1" containsNumber="1" containsInteger="1" minValue="0" maxValue="0" count="6">
        <s v="habitat"/>
        <s v="medicinal"/>
        <s v="unknown"/>
        <s v="timber"/>
        <e v="#N/A"/>
        <n v="0" u="1"/>
      </sharedItems>
    </cacheField>
    <cacheField name="Count_ca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ohagen" refreshedDate="43600.062490162039" createdVersion="6" refreshedVersion="6" minRefreshableVersion="3" recordCount="880">
  <cacheSource type="worksheet">
    <worksheetSource ref="Q20:R900" sheet="Analysis"/>
  </cacheSource>
  <cacheFields count="2">
    <cacheField name="Is Deadwood?" numFmtId="0">
      <sharedItems count="3">
        <b v="0"/>
        <b v="1"/>
        <s v=""/>
      </sharedItems>
    </cacheField>
    <cacheField name="Count_dead"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80">
  <r>
    <x v="0"/>
    <n v="1"/>
  </r>
  <r>
    <x v="0"/>
    <n v="1"/>
  </r>
  <r>
    <x v="0"/>
    <n v="1"/>
  </r>
  <r>
    <x v="0"/>
    <n v="1"/>
  </r>
  <r>
    <x v="0"/>
    <n v="1"/>
  </r>
  <r>
    <x v="0"/>
    <n v="1"/>
  </r>
  <r>
    <x v="0"/>
    <n v="1"/>
  </r>
  <r>
    <x v="0"/>
    <n v="1"/>
  </r>
  <r>
    <x v="1"/>
    <n v="1"/>
  </r>
  <r>
    <x v="0"/>
    <n v="1"/>
  </r>
  <r>
    <x v="0"/>
    <n v="1"/>
  </r>
  <r>
    <x v="2"/>
    <n v="1"/>
  </r>
  <r>
    <x v="2"/>
    <n v="1"/>
  </r>
  <r>
    <x v="2"/>
    <n v="1"/>
  </r>
  <r>
    <x v="2"/>
    <n v="1"/>
  </r>
  <r>
    <x v="0"/>
    <n v="1"/>
  </r>
  <r>
    <x v="0"/>
    <n v="1"/>
  </r>
  <r>
    <x v="2"/>
    <n v="1"/>
  </r>
  <r>
    <x v="1"/>
    <n v="1"/>
  </r>
  <r>
    <x v="3"/>
    <n v="1"/>
  </r>
  <r>
    <x v="0"/>
    <n v="1"/>
  </r>
  <r>
    <x v="3"/>
    <n v="1"/>
  </r>
  <r>
    <x v="3"/>
    <n v="1"/>
  </r>
  <r>
    <x v="0"/>
    <n v="1"/>
  </r>
  <r>
    <x v="0"/>
    <n v="1"/>
  </r>
  <r>
    <x v="0"/>
    <n v="1"/>
  </r>
  <r>
    <x v="2"/>
    <n v="1"/>
  </r>
  <r>
    <x v="0"/>
    <n v="1"/>
  </r>
  <r>
    <x v="3"/>
    <n v="1"/>
  </r>
  <r>
    <x v="0"/>
    <n v="1"/>
  </r>
  <r>
    <x v="0"/>
    <n v="1"/>
  </r>
  <r>
    <x v="0"/>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r>
    <x v="4"/>
    <n v="1"/>
  </r>
</pivotCacheRecords>
</file>

<file path=xl/pivotCache/pivotCacheRecords2.xml><?xml version="1.0" encoding="utf-8"?>
<pivotCacheRecords xmlns="http://schemas.openxmlformats.org/spreadsheetml/2006/main" xmlns:r="http://schemas.openxmlformats.org/officeDocument/2006/relationships" count="880">
  <r>
    <x v="0"/>
    <n v="1"/>
  </r>
  <r>
    <x v="0"/>
    <n v="1"/>
  </r>
  <r>
    <x v="0"/>
    <n v="1"/>
  </r>
  <r>
    <x v="0"/>
    <n v="1"/>
  </r>
  <r>
    <x v="0"/>
    <n v="1"/>
  </r>
  <r>
    <x v="0"/>
    <n v="1"/>
  </r>
  <r>
    <x v="0"/>
    <n v="1"/>
  </r>
  <r>
    <x v="0"/>
    <n v="1"/>
  </r>
  <r>
    <x v="0"/>
    <n v="1"/>
  </r>
  <r>
    <x v="0"/>
    <n v="1"/>
  </r>
  <r>
    <x v="0"/>
    <n v="1"/>
  </r>
  <r>
    <x v="0"/>
    <n v="1"/>
  </r>
  <r>
    <x v="0"/>
    <n v="1"/>
  </r>
  <r>
    <x v="0"/>
    <n v="1"/>
  </r>
  <r>
    <x v="0"/>
    <n v="1"/>
  </r>
  <r>
    <x v="0"/>
    <n v="1"/>
  </r>
  <r>
    <x v="0"/>
    <n v="1"/>
  </r>
  <r>
    <x v="0"/>
    <n v="1"/>
  </r>
  <r>
    <x v="0"/>
    <n v="1"/>
  </r>
  <r>
    <x v="0"/>
    <n v="1"/>
  </r>
  <r>
    <x v="0"/>
    <n v="1"/>
  </r>
  <r>
    <x v="0"/>
    <n v="1"/>
  </r>
  <r>
    <x v="0"/>
    <n v="1"/>
  </r>
  <r>
    <x v="1"/>
    <n v="1"/>
  </r>
  <r>
    <x v="0"/>
    <n v="1"/>
  </r>
  <r>
    <x v="0"/>
    <n v="1"/>
  </r>
  <r>
    <x v="0"/>
    <n v="1"/>
  </r>
  <r>
    <x v="1"/>
    <n v="1"/>
  </r>
  <r>
    <x v="0"/>
    <n v="1"/>
  </r>
  <r>
    <x v="1"/>
    <n v="1"/>
  </r>
  <r>
    <x v="1"/>
    <n v="1"/>
  </r>
  <r>
    <x v="1"/>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r>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T3:U8" firstHeaderRow="1" firstDataRow="1" firstDataCol="1"/>
  <pivotFields count="2">
    <pivotField axis="axisRow" showAll="0">
      <items count="7">
        <item m="1" x="5"/>
        <item x="0"/>
        <item x="1"/>
        <item x="3"/>
        <item h="1" x="4"/>
        <item x="2"/>
        <item t="default"/>
      </items>
    </pivotField>
    <pivotField dataField="1" showAll="0"/>
  </pivotFields>
  <rowFields count="1">
    <field x="0"/>
  </rowFields>
  <rowItems count="5">
    <i>
      <x v="1"/>
    </i>
    <i>
      <x v="2"/>
    </i>
    <i>
      <x v="3"/>
    </i>
    <i>
      <x v="5"/>
    </i>
    <i t="grand">
      <x/>
    </i>
  </rowItems>
  <colItems count="1">
    <i/>
  </colItems>
  <dataFields count="1">
    <dataField name="Sum of Count_cat" fld="1" baseField="0" baseItem="0"/>
  </dataFields>
  <chartFormats count="5">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1"/>
          </reference>
        </references>
      </pivotArea>
    </chartFormat>
    <chartFormat chart="1" format="13">
      <pivotArea type="data" outline="0" fieldPosition="0">
        <references count="2">
          <reference field="4294967294" count="1" selected="0">
            <x v="0"/>
          </reference>
          <reference field="0" count="1" selected="0">
            <x v="2"/>
          </reference>
        </references>
      </pivotArea>
    </chartFormat>
    <chartFormat chart="1" format="14">
      <pivotArea type="data" outline="0" fieldPosition="0">
        <references count="2">
          <reference field="4294967294" count="1" selected="0">
            <x v="0"/>
          </reference>
          <reference field="0" count="1" selected="0">
            <x v="3"/>
          </reference>
        </references>
      </pivotArea>
    </chartFormat>
    <chartFormat chart="1" format="15">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V3:W6" firstHeaderRow="1" firstDataRow="1" firstDataCol="1"/>
  <pivotFields count="2">
    <pivotField axis="axisRow" showAll="0">
      <items count="4">
        <item h="1" x="2"/>
        <item x="0"/>
        <item x="1"/>
        <item t="default"/>
      </items>
    </pivotField>
    <pivotField dataField="1" showAll="0"/>
  </pivotFields>
  <rowFields count="1">
    <field x="0"/>
  </rowFields>
  <rowItems count="3">
    <i>
      <x v="1"/>
    </i>
    <i>
      <x v="2"/>
    </i>
    <i t="grand">
      <x/>
    </i>
  </rowItems>
  <colItems count="1">
    <i/>
  </colItems>
  <dataFields count="1">
    <dataField name="Sum of Count_dead" fld="1" baseField="0" baseItem="0"/>
  </dataFields>
  <chartFormats count="3">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D115" totalsRowShown="0" headerRowDxfId="5" headerRowBorderDxfId="4" tableBorderDxfId="3">
  <autoFilter ref="A1:D115"/>
  <sortState ref="A2:D115">
    <sortCondition ref="A2"/>
  </sortState>
  <tableColumns count="4">
    <tableColumn id="1" name="Scientific name"/>
    <tableColumn id="2" name="Popular name"/>
    <tableColumn id="3" name="Lookup name" dataDxfId="2">
      <calculatedColumnFormula>Table1[[#This Row],[Scientific name]]&amp;" ("&amp;Table1[[#This Row],[Popular name]]&amp;")"</calculatedColumnFormula>
    </tableColumn>
    <tableColumn id="4" name="Category"/>
  </tableColumns>
  <tableStyleInfo name="TableStyleMedium2" showFirstColumn="0" showLastColumn="0" showRowStripes="1" showColumnStripes="0"/>
</table>
</file>

<file path=xl/tables/table2.xml><?xml version="1.0" encoding="utf-8"?>
<table xmlns="http://schemas.openxmlformats.org/spreadsheetml/2006/main" id="4" name="TreeCategory" displayName="TreeCategory" ref="F1:F4" totalsRowShown="0">
  <autoFilter ref="F1:F4"/>
  <tableColumns count="1">
    <tableColumn id="1" name="Tree Category"/>
  </tableColumns>
  <tableStyleInfo name="TableStyleMedium2" showFirstColumn="0" showLastColumn="0" showRowStripes="1" showColumnStripes="0"/>
</table>
</file>

<file path=xl/tables/table3.xml><?xml version="1.0" encoding="utf-8"?>
<table xmlns="http://schemas.openxmlformats.org/spreadsheetml/2006/main" id="6" name="Table6" displayName="Table6" ref="H1:H3" totalsRowShown="0">
  <autoFilter ref="H1:H3"/>
  <tableColumns count="1">
    <tableColumn id="1" name="Binary"/>
  </tableColumns>
  <tableStyleInfo name="TableStyleMedium2" showFirstColumn="0" showLastColumn="0" showRowStripes="1" showColumnStripes="0"/>
</table>
</file>

<file path=xl/tables/table4.xml><?xml version="1.0" encoding="utf-8"?>
<table xmlns="http://schemas.openxmlformats.org/spreadsheetml/2006/main" id="7" name="DWC" displayName="DWC" ref="J1:J4" totalsRowShown="0" dataDxfId="1">
  <autoFilter ref="J1:J4"/>
  <tableColumns count="1">
    <tableColumn id="1" name="Dead Wood Clas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704"/>
  <sheetViews>
    <sheetView zoomScale="85" zoomScaleNormal="85" workbookViewId="0">
      <selection activeCell="D48" sqref="D48"/>
    </sheetView>
  </sheetViews>
  <sheetFormatPr defaultRowHeight="14.5"/>
  <cols>
    <col min="1" max="1" width="13.54296875" customWidth="1"/>
    <col min="2" max="2" width="40.7265625" style="2" customWidth="1"/>
    <col min="3" max="3" width="10.7265625" style="2" bestFit="1" customWidth="1"/>
    <col min="4" max="6" width="8.7265625" style="2"/>
    <col min="7" max="7" width="13.453125" style="2" customWidth="1"/>
    <col min="8" max="8" width="14.26953125" style="2" customWidth="1"/>
    <col min="9" max="10" width="8.7265625" style="2"/>
    <col min="11" max="11" width="18" style="2" customWidth="1"/>
    <col min="12" max="17" width="8.7265625" style="2"/>
  </cols>
  <sheetData>
    <row r="1" spans="1:3" ht="16.5" thickTop="1" thickBot="1">
      <c r="A1" s="4"/>
      <c r="B1" s="7" t="s">
        <v>15</v>
      </c>
    </row>
    <row r="2" spans="1:3" ht="16.5" thickTop="1" thickBot="1">
      <c r="A2" s="4"/>
      <c r="B2" s="7" t="s">
        <v>8</v>
      </c>
      <c r="C2" s="25"/>
    </row>
    <row r="3" spans="1:3" ht="16.5" thickTop="1" thickBot="1">
      <c r="A3" s="4"/>
      <c r="B3" s="7" t="s">
        <v>55</v>
      </c>
      <c r="C3" s="20"/>
    </row>
    <row r="4" spans="1:3" ht="16.5" thickTop="1" thickBot="1">
      <c r="A4" s="4"/>
      <c r="B4" s="7" t="s">
        <v>56</v>
      </c>
      <c r="C4" s="20"/>
    </row>
    <row r="5" spans="1:3" ht="16.5" thickTop="1" thickBot="1">
      <c r="A5" s="4"/>
      <c r="B5" s="7" t="s">
        <v>54</v>
      </c>
    </row>
    <row r="6" spans="1:3" ht="16.5" thickTop="1" thickBot="1">
      <c r="A6" s="15"/>
      <c r="B6" s="16" t="s">
        <v>9</v>
      </c>
      <c r="C6" s="25"/>
    </row>
    <row r="7" spans="1:3" ht="16.5" thickTop="1" thickBot="1">
      <c r="A7" s="15"/>
      <c r="B7" s="16" t="s">
        <v>10</v>
      </c>
    </row>
    <row r="8" spans="1:3" ht="16" thickTop="1">
      <c r="A8" s="5" t="s">
        <v>2</v>
      </c>
      <c r="B8" s="8" t="s">
        <v>0</v>
      </c>
    </row>
    <row r="9" spans="1:3" ht="16" thickBot="1">
      <c r="B9" s="8" t="s">
        <v>1</v>
      </c>
    </row>
    <row r="10" spans="1:3" ht="16" thickTop="1">
      <c r="A10" s="5" t="s">
        <v>16</v>
      </c>
      <c r="B10" s="6" t="s">
        <v>17</v>
      </c>
    </row>
    <row r="11" spans="1:3" ht="15.5">
      <c r="A11" s="1"/>
      <c r="B11" s="8" t="s">
        <v>19</v>
      </c>
    </row>
    <row r="12" spans="1:3" ht="16" thickBot="1">
      <c r="B12" s="8" t="s">
        <v>18</v>
      </c>
    </row>
    <row r="13" spans="1:3" ht="16.5" thickTop="1" thickBot="1">
      <c r="A13" s="4"/>
      <c r="B13" s="7" t="s">
        <v>20</v>
      </c>
    </row>
    <row r="14" spans="1:3" ht="15" thickTop="1"/>
    <row r="18" spans="1:13">
      <c r="B18" s="19"/>
    </row>
    <row r="22" spans="1:13" ht="19" thickBot="1">
      <c r="A22" s="11" t="s">
        <v>34</v>
      </c>
      <c r="B22" s="12"/>
      <c r="C22" s="12"/>
      <c r="D22" s="12"/>
      <c r="E22" s="12"/>
      <c r="F22" s="12"/>
      <c r="G22" s="12"/>
      <c r="H22" s="12"/>
      <c r="I22" s="12"/>
      <c r="K22" s="13" t="s">
        <v>35</v>
      </c>
      <c r="L22" s="14"/>
      <c r="M22" s="14"/>
    </row>
    <row r="23" spans="1:13" ht="16.5" thickTop="1" thickBot="1">
      <c r="A23" s="9" t="s">
        <v>21</v>
      </c>
      <c r="B23" s="10" t="s">
        <v>22</v>
      </c>
      <c r="C23" s="10" t="s">
        <v>23</v>
      </c>
      <c r="D23" s="10" t="s">
        <v>24</v>
      </c>
      <c r="E23" s="10" t="s">
        <v>25</v>
      </c>
      <c r="F23" s="10" t="s">
        <v>26</v>
      </c>
      <c r="G23" s="10" t="s">
        <v>28</v>
      </c>
      <c r="H23" s="10" t="s">
        <v>27</v>
      </c>
      <c r="I23" s="10" t="s">
        <v>279</v>
      </c>
      <c r="K23" s="9" t="s">
        <v>31</v>
      </c>
      <c r="L23" s="10" t="s">
        <v>32</v>
      </c>
      <c r="M23" s="10" t="s">
        <v>33</v>
      </c>
    </row>
    <row r="24" spans="1:13" ht="15" thickTop="1">
      <c r="B24" s="19"/>
      <c r="G24" s="26"/>
      <c r="H24" s="27"/>
    </row>
    <row r="25" spans="1:13">
      <c r="B25" s="19"/>
      <c r="G25" s="26"/>
      <c r="H25" s="27"/>
    </row>
    <row r="26" spans="1:13">
      <c r="B26" s="19"/>
      <c r="D26" s="19"/>
      <c r="E26" s="19"/>
      <c r="F26" s="19"/>
      <c r="G26" s="26"/>
      <c r="H26" s="27"/>
    </row>
    <row r="27" spans="1:13">
      <c r="B27" s="19"/>
      <c r="C27" s="19"/>
      <c r="D27" s="19"/>
      <c r="E27" s="19"/>
      <c r="F27" s="19"/>
      <c r="G27" s="26"/>
      <c r="H27" s="27"/>
    </row>
    <row r="28" spans="1:13">
      <c r="B28" s="19"/>
      <c r="C28" s="19"/>
      <c r="D28" s="19"/>
      <c r="E28" s="19"/>
      <c r="F28" s="19"/>
      <c r="G28" s="26"/>
      <c r="H28" s="27"/>
    </row>
    <row r="29" spans="1:13">
      <c r="B29" s="19"/>
      <c r="C29" s="19"/>
      <c r="D29" s="19"/>
      <c r="E29" s="19"/>
      <c r="G29" s="26"/>
      <c r="H29" s="27"/>
    </row>
    <row r="30" spans="1:13">
      <c r="C30" s="19"/>
      <c r="D30" s="19"/>
      <c r="E30" s="19"/>
      <c r="G30" s="26"/>
      <c r="H30" s="27"/>
    </row>
    <row r="31" spans="1:13">
      <c r="C31" s="19"/>
      <c r="D31" s="19"/>
      <c r="E31" s="19"/>
      <c r="G31" s="26"/>
      <c r="H31" s="27"/>
    </row>
    <row r="32" spans="1:13">
      <c r="C32" s="19"/>
      <c r="D32" s="19"/>
      <c r="E32" s="19"/>
      <c r="G32" s="26"/>
      <c r="H32" s="27"/>
    </row>
    <row r="33" spans="3:8">
      <c r="C33" s="19"/>
      <c r="D33" s="19"/>
      <c r="E33" s="19"/>
      <c r="G33" s="26"/>
      <c r="H33" s="27"/>
    </row>
    <row r="34" spans="3:8">
      <c r="C34" s="19"/>
      <c r="D34" s="19"/>
      <c r="E34" s="19"/>
      <c r="G34" s="26"/>
      <c r="H34" s="27"/>
    </row>
    <row r="35" spans="3:8">
      <c r="C35" s="19"/>
      <c r="D35" s="19"/>
      <c r="E35" s="19"/>
      <c r="G35" s="26"/>
      <c r="H35" s="27"/>
    </row>
    <row r="36" spans="3:8">
      <c r="C36" s="19"/>
      <c r="D36" s="19"/>
      <c r="E36" s="19"/>
      <c r="G36" s="26"/>
      <c r="H36" s="27"/>
    </row>
    <row r="37" spans="3:8">
      <c r="C37" s="19"/>
      <c r="D37" s="19"/>
      <c r="E37" s="19"/>
      <c r="G37" s="26"/>
      <c r="H37" s="27"/>
    </row>
    <row r="38" spans="3:8">
      <c r="C38" s="19"/>
      <c r="D38" s="19"/>
      <c r="E38" s="19"/>
      <c r="G38" s="26"/>
      <c r="H38" s="27"/>
    </row>
    <row r="39" spans="3:8">
      <c r="C39" s="19"/>
      <c r="D39" s="19"/>
      <c r="E39" s="19"/>
      <c r="G39" s="26"/>
      <c r="H39" s="27"/>
    </row>
    <row r="40" spans="3:8">
      <c r="C40" s="19"/>
      <c r="D40" s="19"/>
      <c r="E40" s="19"/>
      <c r="G40" s="26"/>
      <c r="H40" s="27"/>
    </row>
    <row r="41" spans="3:8">
      <c r="C41" s="19"/>
      <c r="D41" s="19"/>
      <c r="E41" s="19"/>
      <c r="G41" s="26"/>
      <c r="H41" s="27"/>
    </row>
    <row r="42" spans="3:8">
      <c r="C42" s="19"/>
      <c r="D42" s="19"/>
      <c r="E42" s="19"/>
      <c r="F42" s="19"/>
      <c r="G42" s="26"/>
      <c r="H42" s="27"/>
    </row>
    <row r="43" spans="3:8">
      <c r="C43" s="19"/>
      <c r="D43" s="19"/>
      <c r="E43" s="19"/>
      <c r="G43" s="28"/>
      <c r="H43" s="28"/>
    </row>
    <row r="44" spans="3:8">
      <c r="C44" s="19"/>
      <c r="D44" s="19"/>
      <c r="E44" s="19"/>
      <c r="F44" s="19"/>
      <c r="G44" s="28"/>
      <c r="H44" s="28"/>
    </row>
    <row r="45" spans="3:8">
      <c r="C45" s="19"/>
      <c r="D45" s="19"/>
      <c r="E45" s="19"/>
      <c r="F45" s="19"/>
      <c r="G45" s="28"/>
      <c r="H45" s="28"/>
    </row>
    <row r="46" spans="3:8">
      <c r="C46" s="19"/>
      <c r="D46" s="19"/>
      <c r="E46" s="19"/>
      <c r="F46" s="19"/>
      <c r="G46" s="28"/>
      <c r="H46" s="28"/>
    </row>
    <row r="47" spans="3:8">
      <c r="C47" s="19"/>
      <c r="D47" s="19"/>
      <c r="E47" s="19"/>
      <c r="F47" s="19"/>
      <c r="G47" s="28"/>
      <c r="H47" s="28"/>
    </row>
    <row r="48" spans="3:8">
      <c r="C48" s="19"/>
      <c r="D48" s="19"/>
      <c r="E48" s="19"/>
      <c r="F48" s="19"/>
      <c r="G48" s="28"/>
      <c r="H48" s="28"/>
    </row>
    <row r="49" spans="3:8">
      <c r="C49" s="19"/>
      <c r="D49" s="19"/>
      <c r="E49" s="19"/>
      <c r="F49" s="19"/>
      <c r="G49" s="28"/>
      <c r="H49" s="28"/>
    </row>
    <row r="50" spans="3:8">
      <c r="C50" s="19"/>
      <c r="D50" s="19"/>
      <c r="E50" s="19"/>
      <c r="F50" s="19"/>
      <c r="G50" s="28"/>
      <c r="H50" s="28"/>
    </row>
    <row r="51" spans="3:8">
      <c r="C51" s="19"/>
      <c r="D51" s="19"/>
      <c r="E51" s="19"/>
      <c r="F51" s="19"/>
      <c r="G51" s="28"/>
      <c r="H51" s="28"/>
    </row>
    <row r="52" spans="3:8">
      <c r="C52" s="19"/>
      <c r="D52" s="19"/>
      <c r="E52" s="19"/>
      <c r="F52" s="19"/>
      <c r="G52" s="28"/>
      <c r="H52" s="28"/>
    </row>
    <row r="53" spans="3:8">
      <c r="C53" s="19"/>
      <c r="D53" s="19"/>
      <c r="E53" s="19"/>
      <c r="F53" s="19"/>
      <c r="G53" s="28"/>
      <c r="H53" s="28"/>
    </row>
    <row r="54" spans="3:8">
      <c r="C54" s="19"/>
      <c r="D54" s="19"/>
      <c r="E54" s="19"/>
      <c r="F54" s="19"/>
      <c r="G54" s="28"/>
      <c r="H54" s="28"/>
    </row>
    <row r="55" spans="3:8">
      <c r="C55" s="19"/>
      <c r="D55" s="19"/>
      <c r="E55" s="19"/>
      <c r="F55" s="19"/>
      <c r="G55" s="28"/>
      <c r="H55" s="28"/>
    </row>
    <row r="56" spans="3:8">
      <c r="G56" s="28"/>
      <c r="H56" s="28"/>
    </row>
    <row r="57" spans="3:8">
      <c r="G57" s="28"/>
      <c r="H57" s="28"/>
    </row>
    <row r="58" spans="3:8">
      <c r="G58" s="28"/>
      <c r="H58" s="28"/>
    </row>
    <row r="704" spans="1:13">
      <c r="A704" s="17"/>
      <c r="B704" s="17"/>
      <c r="C704" s="17"/>
      <c r="D704" s="17"/>
      <c r="E704" s="17"/>
      <c r="F704" s="17"/>
      <c r="G704" s="17"/>
      <c r="H704" s="17"/>
      <c r="I704" s="17"/>
      <c r="K704" s="17"/>
      <c r="L704" s="17"/>
      <c r="M704" s="17"/>
    </row>
  </sheetData>
  <dataValidations count="3">
    <dataValidation type="list" allowBlank="1" showInputMessage="1" showErrorMessage="1" sqref="B24:B706">
      <formula1>LookupNames</formula1>
    </dataValidation>
    <dataValidation type="list" allowBlank="1" showInputMessage="1" showErrorMessage="1" sqref="D24:F703">
      <formula1>Binary</formula1>
    </dataValidation>
    <dataValidation type="list" allowBlank="1" showInputMessage="1" showErrorMessage="1" sqref="K24:K703">
      <formula1>Dead_Wood_Classes</formula1>
    </dataValidation>
  </dataValidation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01"/>
  <sheetViews>
    <sheetView tabSelected="1" topLeftCell="O1" workbookViewId="0">
      <selection activeCell="S32" sqref="S32"/>
    </sheetView>
  </sheetViews>
  <sheetFormatPr defaultRowHeight="14.5"/>
  <cols>
    <col min="1" max="1" width="12.26953125" customWidth="1"/>
    <col min="2" max="2" width="42.36328125" bestFit="1" customWidth="1"/>
    <col min="3" max="3" width="9" bestFit="1" customWidth="1"/>
    <col min="14" max="14" width="26.36328125" bestFit="1" customWidth="1"/>
    <col min="15" max="16" width="35.1796875" bestFit="1" customWidth="1"/>
    <col min="17" max="17" width="14.81640625" customWidth="1"/>
    <col min="20" max="20" width="12.36328125" customWidth="1"/>
    <col min="21" max="21" width="15.81640625" bestFit="1" customWidth="1"/>
    <col min="22" max="22" width="12.36328125" bestFit="1" customWidth="1"/>
    <col min="23" max="23" width="17.54296875" bestFit="1" customWidth="1"/>
    <col min="25" max="25" width="9.26953125" customWidth="1"/>
    <col min="26" max="26" width="10.453125" customWidth="1"/>
  </cols>
  <sheetData>
    <row r="1" spans="1:35">
      <c r="A1" s="23" t="s">
        <v>53</v>
      </c>
      <c r="B1" s="23"/>
      <c r="C1" s="23"/>
      <c r="Y1" s="34" t="s">
        <v>289</v>
      </c>
      <c r="Z1" s="34"/>
      <c r="AA1" s="34"/>
      <c r="AC1" s="35" t="s">
        <v>292</v>
      </c>
      <c r="AD1" s="35"/>
      <c r="AE1" s="35"/>
      <c r="AG1" s="36" t="s">
        <v>293</v>
      </c>
      <c r="AH1" s="36"/>
      <c r="AI1" s="36"/>
    </row>
    <row r="2" spans="1:35">
      <c r="A2" t="s">
        <v>50</v>
      </c>
      <c r="B2" t="s">
        <v>51</v>
      </c>
      <c r="C2" t="s">
        <v>52</v>
      </c>
      <c r="Y2" t="s">
        <v>291</v>
      </c>
      <c r="AC2" t="s">
        <v>291</v>
      </c>
      <c r="AG2" t="s">
        <v>291</v>
      </c>
    </row>
    <row r="3" spans="1:35">
      <c r="A3" s="21">
        <f>'PSP Data'!C4-'PSP Data'!C3</f>
        <v>0</v>
      </c>
      <c r="B3">
        <f>LEN(TRIM('PSP Data'!C5))-LEN(SUBSTITUTE(TRIM('PSP Data'!C5),",",""))+1</f>
        <v>1</v>
      </c>
      <c r="C3" s="21">
        <f>A3*B3</f>
        <v>0</v>
      </c>
      <c r="T3" s="30" t="s">
        <v>285</v>
      </c>
      <c r="U3" t="s">
        <v>284</v>
      </c>
      <c r="V3" s="30" t="s">
        <v>285</v>
      </c>
      <c r="W3" t="s">
        <v>300</v>
      </c>
      <c r="Y3" t="e">
        <f t="array" ref="Y3">INDEX($N$21:$N$900, MATCH(0, COUNTIF($Y$2:Y2, $N$21:$N$900), 0))</f>
        <v>#N/A</v>
      </c>
      <c r="AC3" t="str">
        <f t="array" ref="AC3">INDEX($O$21:$O$900, MATCH(0, COUNTIF($AC$2:AC2, $O$21:$O$900), 0))</f>
        <v/>
      </c>
      <c r="AG3" t="str">
        <f t="array" ref="AG3">INDEX($P$21:$P$900, MATCH(0, COUNTIF($AG$2:AG2, $P$21:$P$900), 0))</f>
        <v/>
      </c>
    </row>
    <row r="4" spans="1:35">
      <c r="T4" s="31" t="s">
        <v>39</v>
      </c>
      <c r="U4" s="24">
        <v>20</v>
      </c>
      <c r="V4" s="31" t="s">
        <v>296</v>
      </c>
      <c r="W4" s="24">
        <v>27</v>
      </c>
      <c r="Y4" t="e">
        <f t="array" ref="Y4">INDEX($N$21:$N$900, MATCH(0, COUNTIF($Y$2:Y3, $N$21:$N$900), 0))</f>
        <v>#N/A</v>
      </c>
      <c r="AC4" t="e">
        <f t="array" ref="AC4">INDEX($O$21:$O$900, MATCH(0, COUNTIF($AC$2:AC3, $O$21:$O$900), 0))</f>
        <v>#N/A</v>
      </c>
      <c r="AG4" t="e">
        <f t="array" ref="AG4">INDEX($P$21:$P$900, MATCH(0, COUNTIF($AG$2:AG3, $P$21:$P$900), 0))</f>
        <v>#N/A</v>
      </c>
    </row>
    <row r="5" spans="1:35">
      <c r="A5" s="22" t="s">
        <v>60</v>
      </c>
      <c r="B5" s="22"/>
      <c r="C5" s="22"/>
      <c r="T5" s="31" t="s">
        <v>38</v>
      </c>
      <c r="U5" s="24">
        <v>2</v>
      </c>
      <c r="V5" s="31" t="s">
        <v>297</v>
      </c>
      <c r="W5" s="24">
        <v>5</v>
      </c>
      <c r="Y5" t="e">
        <f t="array" ref="Y5">INDEX($N$21:$N$900, MATCH(0, COUNTIF($Y$2:Y4, $N$21:$N$900), 0))</f>
        <v>#N/A</v>
      </c>
      <c r="AC5" t="e">
        <f t="array" ref="AC5">INDEX($O$21:$O$900, MATCH(0, COUNTIF($AC$2:AC4, $O$21:$O$900), 0))</f>
        <v>#N/A</v>
      </c>
      <c r="AG5" t="e">
        <f t="array" ref="AG5">INDEX($P$21:$P$900, MATCH(0, COUNTIF($AG$2:AG4, $P$21:$P$900), 0))</f>
        <v>#N/A</v>
      </c>
    </row>
    <row r="6" spans="1:35">
      <c r="A6" t="s">
        <v>57</v>
      </c>
      <c r="B6" t="s">
        <v>58</v>
      </c>
      <c r="C6" t="s">
        <v>59</v>
      </c>
      <c r="T6" s="31" t="s">
        <v>37</v>
      </c>
      <c r="U6" s="24">
        <v>4</v>
      </c>
      <c r="V6" s="31" t="s">
        <v>286</v>
      </c>
      <c r="W6" s="24">
        <v>32</v>
      </c>
      <c r="Y6" t="e">
        <f t="array" ref="Y6">INDEX($N$21:$N$900, MATCH(0, COUNTIF($Y$2:Y5, $N$21:$N$900), 0))</f>
        <v>#N/A</v>
      </c>
      <c r="AC6" t="e">
        <f t="array" ref="AC6">INDEX($O$21:$O$900, MATCH(0, COUNTIF($AC$2:AC5, $O$21:$O$900), 0))</f>
        <v>#N/A</v>
      </c>
      <c r="AG6" t="e">
        <f t="array" ref="AG6">INDEX($P$21:$P$900, MATCH(0, COUNTIF($AG$2:AG5, $P$21:$P$900), 0))</f>
        <v>#N/A</v>
      </c>
    </row>
    <row r="7" spans="1:35">
      <c r="A7">
        <f>'PSP Data'!C11-'PSP Data'!C10</f>
        <v>0</v>
      </c>
      <c r="B7">
        <f>'PSP Data'!C12-'PSP Data'!C11</f>
        <v>0</v>
      </c>
      <c r="C7">
        <f>'PSP Data'!C12-'PSP Data'!C10</f>
        <v>0</v>
      </c>
      <c r="T7" s="31" t="s">
        <v>287</v>
      </c>
      <c r="U7" s="24">
        <v>6</v>
      </c>
      <c r="Y7" t="e">
        <f t="array" ref="Y7">INDEX($N$21:$N$900, MATCH(0, COUNTIF($Y$2:Y6, $N$21:$N$900), 0))</f>
        <v>#N/A</v>
      </c>
      <c r="AC7" t="e">
        <f t="array" ref="AC7">INDEX($O$21:$O$900, MATCH(0, COUNTIF($AC$2:AC6, $O$21:$O$900), 0))</f>
        <v>#N/A</v>
      </c>
      <c r="AG7" t="e">
        <f t="array" ref="AG7">INDEX($P$21:$P$900, MATCH(0, COUNTIF($AG$2:AG6, $P$21:$P$900), 0))</f>
        <v>#N/A</v>
      </c>
    </row>
    <row r="8" spans="1:35">
      <c r="T8" s="31" t="s">
        <v>286</v>
      </c>
      <c r="U8" s="24">
        <v>32</v>
      </c>
      <c r="Y8" t="e">
        <f t="array" ref="Y8">INDEX($N$21:$N$900, MATCH(0, COUNTIF($Y$2:Y7, $N$21:$N$900), 0))</f>
        <v>#N/A</v>
      </c>
      <c r="AC8" t="e">
        <f t="array" ref="AC8">INDEX($O$21:$O$900, MATCH(0, COUNTIF($AC$2:AC7, $O$21:$O$900), 0))</f>
        <v>#N/A</v>
      </c>
      <c r="AG8" t="e">
        <f t="array" ref="AG8">INDEX($P$21:$P$900, MATCH(0, COUNTIF($AG$2:AG7, $P$21:$P$900), 0))</f>
        <v>#N/A</v>
      </c>
    </row>
    <row r="9" spans="1:35">
      <c r="A9" s="33" t="s">
        <v>288</v>
      </c>
      <c r="B9" s="33"/>
      <c r="C9" s="33"/>
      <c r="Y9" t="e">
        <f t="array" ref="Y9">INDEX($N$21:$N$900, MATCH(0, COUNTIF($Y$2:Y8, $N$21:$N$900), 0))</f>
        <v>#N/A</v>
      </c>
      <c r="AC9" t="e">
        <f t="array" ref="AC9">INDEX($O$21:$O$900, MATCH(0, COUNTIF($AC$2:AC8, $O$21:$O$900), 0))</f>
        <v>#N/A</v>
      </c>
      <c r="AG9" t="e">
        <f t="array" ref="AG9">INDEX($P$21:$P$900, MATCH(0, COUNTIF($AG$2:AG8, $P$21:$P$900), 0))</f>
        <v>#N/A</v>
      </c>
    </row>
    <row r="10" spans="1:35">
      <c r="A10" t="e">
        <f t="array" ref="A10">INDEX(B21:B900,MODE(IF(B21:B900&lt;&gt;"",MATCH(B21:B900,B21:B900,0))))</f>
        <v>#N/A</v>
      </c>
      <c r="Y10" t="e">
        <f t="array" ref="Y10">INDEX($N$21:$N$900, MATCH(0, COUNTIF($Y$2:Y9, $N$21:$N$900), 0))</f>
        <v>#N/A</v>
      </c>
      <c r="AC10" t="e">
        <f t="array" ref="AC10">INDEX($O$21:$O$900, MATCH(0, COUNTIF($AC$2:AC9, $O$21:$O$900), 0))</f>
        <v>#N/A</v>
      </c>
      <c r="AG10" t="e">
        <f t="array" ref="AG10">INDEX($P$21:$P$900, MATCH(0, COUNTIF($AG$2:AG9, $P$21:$P$900), 0))</f>
        <v>#N/A</v>
      </c>
    </row>
    <row r="11" spans="1:35">
      <c r="Y11" t="e">
        <f t="array" ref="Y11">INDEX($N$21:$N$900, MATCH(0, COUNTIF($Y$2:Y10, $N$21:$N$900), 0))</f>
        <v>#N/A</v>
      </c>
      <c r="AC11" t="e">
        <f t="array" ref="AC11">INDEX($O$21:$O$900, MATCH(0, COUNTIF($AC$2:AC10, $O$21:$O$900), 0))</f>
        <v>#N/A</v>
      </c>
      <c r="AG11" t="e">
        <f t="array" ref="AG11">INDEX($P$21:$P$900, MATCH(0, COUNTIF($AG$2:AG10, $P$21:$P$900), 0))</f>
        <v>#N/A</v>
      </c>
    </row>
    <row r="12" spans="1:35">
      <c r="B12" s="2"/>
      <c r="C12" s="2"/>
      <c r="Y12" t="e">
        <f t="array" ref="Y12">INDEX($N$21:$N$900, MATCH(0, COUNTIF($Y$2:Y11, $N$21:$N$900), 0))</f>
        <v>#N/A</v>
      </c>
      <c r="AC12" t="e">
        <f t="array" ref="AC12">INDEX($O$21:$O$900, MATCH(0, COUNTIF($AC$2:AC11, $O$21:$O$900), 0))</f>
        <v>#N/A</v>
      </c>
      <c r="AG12" t="e">
        <f t="array" ref="AG12">INDEX($P$21:$P$900, MATCH(0, COUNTIF($AG$2:AG11, $P$21:$P$900), 0))</f>
        <v>#N/A</v>
      </c>
    </row>
    <row r="13" spans="1:35">
      <c r="Y13" t="e">
        <f t="array" ref="Y13">INDEX($N$21:$N$900, MATCH(0, COUNTIF($Y$2:Y12, $N$21:$N$900), 0))</f>
        <v>#N/A</v>
      </c>
      <c r="AC13" t="e">
        <f t="array" ref="AC13">INDEX($O$21:$O$900, MATCH(0, COUNTIF($AC$2:AC12, $O$21:$O$900), 0))</f>
        <v>#N/A</v>
      </c>
      <c r="AG13" t="e">
        <f t="array" ref="AG13">INDEX($P$21:$P$900, MATCH(0, COUNTIF($AG$2:AG12, $P$21:$P$900), 0))</f>
        <v>#N/A</v>
      </c>
    </row>
    <row r="14" spans="1:35">
      <c r="Y14" t="e">
        <f t="array" ref="Y14">INDEX($N$21:$N$900, MATCH(0, COUNTIF($Y$2:Y13, $N$21:$N$900), 0))</f>
        <v>#N/A</v>
      </c>
      <c r="AC14" t="e">
        <f t="array" ref="AC14">INDEX($O$21:$O$900, MATCH(0, COUNTIF($AC$2:AC13, $O$21:$O$900), 0))</f>
        <v>#N/A</v>
      </c>
      <c r="AG14" t="e">
        <f t="array" ref="AG14">INDEX($P$21:$P$900, MATCH(0, COUNTIF($AG$2:AG13, $P$21:$P$900), 0))</f>
        <v>#N/A</v>
      </c>
    </row>
    <row r="15" spans="1:35">
      <c r="Y15" t="e">
        <f t="array" ref="Y15">INDEX($N$21:$N$900, MATCH(0, COUNTIF($Y$2:Y14, $N$21:$N$900), 0))</f>
        <v>#N/A</v>
      </c>
      <c r="AC15" t="e">
        <f t="array" ref="AC15">INDEX($O$21:$O$900, MATCH(0, COUNTIF($AC$2:AC14, $O$21:$O$900), 0))</f>
        <v>#N/A</v>
      </c>
      <c r="AG15" t="e">
        <f t="array" ref="AG15">INDEX($P$21:$P$900, MATCH(0, COUNTIF($AG$2:AG14, $P$21:$P$900), 0))</f>
        <v>#N/A</v>
      </c>
    </row>
    <row r="16" spans="1:35">
      <c r="Y16" t="e">
        <f t="array" ref="Y16">INDEX($N$21:$N$900, MATCH(0, COUNTIF($Y$2:Y15, $N$21:$N$900), 0))</f>
        <v>#N/A</v>
      </c>
      <c r="AC16" t="e">
        <f t="array" ref="AC16">INDEX($O$21:$O$900, MATCH(0, COUNTIF($AC$2:AC15, $O$21:$O$900), 0))</f>
        <v>#N/A</v>
      </c>
      <c r="AG16" t="e">
        <f t="array" ref="AG16">INDEX($P$21:$P$900, MATCH(0, COUNTIF($AG$2:AG15, $P$21:$P$900), 0))</f>
        <v>#N/A</v>
      </c>
    </row>
    <row r="17" spans="1:33">
      <c r="Y17" t="e">
        <f t="array" ref="Y17">INDEX($N$21:$N$900, MATCH(0, COUNTIF($Y$2:Y16, $N$21:$N$900), 0))</f>
        <v>#N/A</v>
      </c>
      <c r="AC17" t="e">
        <f t="array" ref="AC17">INDEX($O$21:$O$900, MATCH(0, COUNTIF($AC$2:AC16, $O$21:$O$900), 0))</f>
        <v>#N/A</v>
      </c>
      <c r="AG17" t="e">
        <f t="array" ref="AG17">INDEX($P$21:$P$900, MATCH(0, COUNTIF($AG$2:AG16, $P$21:$P$900), 0))</f>
        <v>#N/A</v>
      </c>
    </row>
    <row r="18" spans="1:33">
      <c r="Y18" t="e">
        <f t="array" ref="Y18">INDEX($N$21:$N$900, MATCH(0, COUNTIF($Y$2:Y17, $N$21:$N$900), 0))</f>
        <v>#N/A</v>
      </c>
      <c r="AC18" t="e">
        <f t="array" ref="AC18">INDEX($O$21:$O$900, MATCH(0, COUNTIF($AC$2:AC17, $O$21:$O$900), 0))</f>
        <v>#N/A</v>
      </c>
      <c r="AG18" t="e">
        <f t="array" ref="AG18">INDEX($P$21:$P$900, MATCH(0, COUNTIF($AG$2:AG17, $P$21:$P$900), 0))</f>
        <v>#N/A</v>
      </c>
    </row>
    <row r="19" spans="1:33">
      <c r="A19" s="32" t="s">
        <v>280</v>
      </c>
      <c r="B19" s="32"/>
      <c r="C19" s="32"/>
      <c r="D19" s="32"/>
      <c r="E19" s="32"/>
      <c r="F19" s="32"/>
      <c r="G19" s="32"/>
      <c r="H19" s="32"/>
      <c r="I19" s="32"/>
      <c r="J19" s="32"/>
      <c r="K19" s="32"/>
      <c r="L19" s="32"/>
      <c r="M19" s="32"/>
      <c r="N19" s="32"/>
      <c r="O19" s="32"/>
      <c r="P19" s="32"/>
      <c r="Q19" s="32"/>
      <c r="R19" s="32"/>
      <c r="Y19" t="e">
        <f t="array" ref="Y19">INDEX($N$21:$N$900, MATCH(0, COUNTIF($Y$2:Y18, $N$21:$N$900), 0))</f>
        <v>#N/A</v>
      </c>
      <c r="AC19" t="e">
        <f t="array" ref="AC19">INDEX($O$21:$O$900, MATCH(0, COUNTIF($AC$2:AC18, $O$21:$O$900), 0))</f>
        <v>#N/A</v>
      </c>
      <c r="AG19" t="e">
        <f t="array" ref="AG19">INDEX($P$21:$P$900, MATCH(0, COUNTIF($AG$2:AG18, $P$21:$P$900), 0))</f>
        <v>#N/A</v>
      </c>
    </row>
    <row r="20" spans="1:33">
      <c r="A20" t="str">
        <f>'PSP Data'!A23</f>
        <v>Tag Number</v>
      </c>
      <c r="B20" t="str">
        <f>'PSP Data'!B23</f>
        <v>Species</v>
      </c>
      <c r="C20" t="str">
        <f>'PSP Data'!C23</f>
        <v>DBH</v>
      </c>
      <c r="D20" t="str">
        <f>'PSP Data'!D23</f>
        <v>Flower</v>
      </c>
      <c r="E20" t="str">
        <f>'PSP Data'!E23</f>
        <v>Seed</v>
      </c>
      <c r="F20" t="str">
        <f>'PSP Data'!F23</f>
        <v>Fruit</v>
      </c>
      <c r="G20" t="str">
        <f>'PSP Data'!G23</f>
        <v>X coordinate</v>
      </c>
      <c r="H20" t="str">
        <f>'PSP Data'!H23</f>
        <v>Y coordinate</v>
      </c>
      <c r="I20" t="str">
        <f>'PSP Data'!I23</f>
        <v>POM(cm)</v>
      </c>
      <c r="J20" t="s">
        <v>281</v>
      </c>
      <c r="K20" t="s">
        <v>282</v>
      </c>
      <c r="L20" t="s">
        <v>36</v>
      </c>
      <c r="M20" t="s">
        <v>283</v>
      </c>
      <c r="N20" t="s">
        <v>290</v>
      </c>
      <c r="O20" t="s">
        <v>294</v>
      </c>
      <c r="P20" t="s">
        <v>295</v>
      </c>
      <c r="Q20" t="s">
        <v>298</v>
      </c>
      <c r="R20" t="s">
        <v>299</v>
      </c>
      <c r="Y20" t="e">
        <f t="array" ref="Y20">INDEX($N$21:$N$900, MATCH(0, COUNTIF($Y$2:Y19, $N$21:$N$900), 0))</f>
        <v>#N/A</v>
      </c>
      <c r="AC20" t="e">
        <f t="array" ref="AC20">INDEX($O$21:$O$900, MATCH(0, COUNTIF($AC$2:AC19, $O$21:$O$900), 0))</f>
        <v>#N/A</v>
      </c>
      <c r="AG20" t="e">
        <f t="array" ref="AG20">INDEX($P$21:$P$900, MATCH(0, COUNTIF($AG$2:AG19, $P$21:$P$900), 0))</f>
        <v>#N/A</v>
      </c>
    </row>
    <row r="21" spans="1:33">
      <c r="A21">
        <f>'PSP Data'!A24</f>
        <v>0</v>
      </c>
      <c r="B21" t="str">
        <f>IF('PSP Data'!B24=0,"",'PSP Data'!B24)</f>
        <v/>
      </c>
      <c r="C21">
        <f>'PSP Data'!C24</f>
        <v>0</v>
      </c>
      <c r="D21">
        <f>'PSP Data'!D24</f>
        <v>0</v>
      </c>
      <c r="E21">
        <f>'PSP Data'!E24</f>
        <v>0</v>
      </c>
      <c r="F21">
        <f>'PSP Data'!F24</f>
        <v>0</v>
      </c>
      <c r="G21">
        <f>'PSP Data'!G24</f>
        <v>0</v>
      </c>
      <c r="H21">
        <f>'PSP Data'!H24</f>
        <v>0</v>
      </c>
      <c r="I21">
        <f>'PSP Data'!I24</f>
        <v>0</v>
      </c>
      <c r="J21" s="29" t="e">
        <f>IF(C21&gt;=25,C21,#N/A)</f>
        <v>#N/A</v>
      </c>
      <c r="K21" s="29" t="e">
        <f>IF(AND((A21&lt;'PSP Data'!$C$11),(A21&lt;&gt;0)),Analysis!C21,#N/A)</f>
        <v>#N/A</v>
      </c>
      <c r="L21" t="e">
        <f>IF(VLOOKUP(B21,Table1[],4)=0,"unknown", VLOOKUP(B21,Table1[],4))</f>
        <v>#N/A</v>
      </c>
      <c r="M21">
        <v>1</v>
      </c>
      <c r="N21" t="e">
        <f>IF(L21="timber",B21,"")</f>
        <v>#N/A</v>
      </c>
      <c r="O21" t="str">
        <f>IF(D21="y",B21,"")</f>
        <v/>
      </c>
      <c r="P21" t="str">
        <f>IF(F21="y",B21,"")</f>
        <v/>
      </c>
      <c r="Q21" t="str">
        <f>IF(B21="","",ISNUMBER(FIND("Dead wood",B21:B900)))</f>
        <v/>
      </c>
      <c r="R21">
        <v>1</v>
      </c>
      <c r="Y21" t="e">
        <f t="array" ref="Y21">INDEX($N$21:$N$900, MATCH(0, COUNTIF($Y$2:Y20, $N$21:$N$900), 0))</f>
        <v>#N/A</v>
      </c>
      <c r="AC21" t="e">
        <f t="array" ref="AC21">INDEX($O$21:$O$900, MATCH(0, COUNTIF($AC$2:AC20, $O$21:$O$900), 0))</f>
        <v>#N/A</v>
      </c>
      <c r="AG21" t="e">
        <f t="array" ref="AG21">INDEX($P$21:$P$900, MATCH(0, COUNTIF($AG$2:AG20, $P$21:$P$900), 0))</f>
        <v>#N/A</v>
      </c>
    </row>
    <row r="22" spans="1:33">
      <c r="A22">
        <f>'PSP Data'!A25</f>
        <v>0</v>
      </c>
      <c r="B22" t="str">
        <f>IF('PSP Data'!B25=0,"",'PSP Data'!B25)</f>
        <v/>
      </c>
      <c r="C22">
        <f>'PSP Data'!C25</f>
        <v>0</v>
      </c>
      <c r="D22">
        <f>'PSP Data'!D25</f>
        <v>0</v>
      </c>
      <c r="E22">
        <f>'PSP Data'!E25</f>
        <v>0</v>
      </c>
      <c r="F22">
        <f>'PSP Data'!F25</f>
        <v>0</v>
      </c>
      <c r="G22">
        <f>'PSP Data'!G25</f>
        <v>0</v>
      </c>
      <c r="H22">
        <f>'PSP Data'!H25</f>
        <v>0</v>
      </c>
      <c r="I22">
        <f>'PSP Data'!I25</f>
        <v>0</v>
      </c>
      <c r="J22" s="29" t="e">
        <f t="shared" ref="J22:J85" si="0">IF(C22&gt;=25,C22,#N/A)</f>
        <v>#N/A</v>
      </c>
      <c r="K22" s="29" t="e">
        <f>IF(AND((A22&lt;'PSP Data'!$C$11),(A22&lt;&gt;0)),Analysis!C22,#N/A)</f>
        <v>#N/A</v>
      </c>
      <c r="L22" t="e">
        <f>IF(VLOOKUP(B22,Table1[],4)=0,"unknown", VLOOKUP(B22,Table1[],4))</f>
        <v>#N/A</v>
      </c>
      <c r="M22">
        <v>1</v>
      </c>
      <c r="N22" t="e">
        <f t="shared" ref="N22:N85" si="1">IF(L22="timber",B22,"")</f>
        <v>#N/A</v>
      </c>
      <c r="O22" t="str">
        <f t="shared" ref="O22:O85" si="2">IF(D22="y",B22,"")</f>
        <v/>
      </c>
      <c r="P22" t="str">
        <f t="shared" ref="P22:P85" si="3">IF(F22="y",B22,"")</f>
        <v/>
      </c>
      <c r="Q22" t="str">
        <f t="shared" ref="Q22:Q85" si="4">IF(B22="","",ISNUMBER(FIND("Dead wood",B22:B901)))</f>
        <v/>
      </c>
      <c r="R22">
        <v>1</v>
      </c>
      <c r="Y22" t="e">
        <f t="array" ref="Y22">INDEX($N$21:$N$900, MATCH(0, COUNTIF($Y$2:Y21, $N$21:$N$900), 0))</f>
        <v>#N/A</v>
      </c>
      <c r="AC22" t="e">
        <f t="array" ref="AC22">INDEX($O$21:$O$900, MATCH(0, COUNTIF($AC$2:AC21, $O$21:$O$900), 0))</f>
        <v>#N/A</v>
      </c>
      <c r="AG22" t="e">
        <f t="array" ref="AG22">INDEX($P$21:$P$900, MATCH(0, COUNTIF($AG$2:AG21, $P$21:$P$900), 0))</f>
        <v>#N/A</v>
      </c>
    </row>
    <row r="23" spans="1:33">
      <c r="A23">
        <f>'PSP Data'!A26</f>
        <v>0</v>
      </c>
      <c r="B23" t="str">
        <f>IF('PSP Data'!B26=0,"",'PSP Data'!B26)</f>
        <v/>
      </c>
      <c r="C23">
        <f>'PSP Data'!C26</f>
        <v>0</v>
      </c>
      <c r="D23">
        <f>'PSP Data'!D26</f>
        <v>0</v>
      </c>
      <c r="E23">
        <f>'PSP Data'!E26</f>
        <v>0</v>
      </c>
      <c r="F23">
        <f>'PSP Data'!F26</f>
        <v>0</v>
      </c>
      <c r="G23">
        <f>'PSP Data'!G26</f>
        <v>0</v>
      </c>
      <c r="H23">
        <f>'PSP Data'!H26</f>
        <v>0</v>
      </c>
      <c r="I23">
        <f>'PSP Data'!I26</f>
        <v>0</v>
      </c>
      <c r="J23" s="29" t="e">
        <f t="shared" si="0"/>
        <v>#N/A</v>
      </c>
      <c r="K23" s="29" t="e">
        <f>IF(AND((A23&lt;'PSP Data'!$C$11),(A23&lt;&gt;0)),Analysis!C23,#N/A)</f>
        <v>#N/A</v>
      </c>
      <c r="L23" t="e">
        <f>IF(VLOOKUP(B23,Table1[],4)=0,"unknown", VLOOKUP(B23,Table1[],4))</f>
        <v>#N/A</v>
      </c>
      <c r="M23">
        <v>1</v>
      </c>
      <c r="N23" t="e">
        <f t="shared" si="1"/>
        <v>#N/A</v>
      </c>
      <c r="O23" t="str">
        <f t="shared" si="2"/>
        <v/>
      </c>
      <c r="P23" t="str">
        <f t="shared" si="3"/>
        <v/>
      </c>
      <c r="Q23" t="str">
        <f t="shared" si="4"/>
        <v/>
      </c>
      <c r="R23">
        <v>1</v>
      </c>
      <c r="Y23" t="e">
        <f t="array" ref="Y23">INDEX($N$21:$N$900, MATCH(0, COUNTIF($Y$2:Y22, $N$21:$N$900), 0))</f>
        <v>#N/A</v>
      </c>
      <c r="AC23" t="e">
        <f t="array" ref="AC23">INDEX($O$21:$O$900, MATCH(0, COUNTIF($AC$2:AC22, $O$21:$O$900), 0))</f>
        <v>#N/A</v>
      </c>
      <c r="AG23" t="e">
        <f t="array" ref="AG23">INDEX($P$21:$P$900, MATCH(0, COUNTIF($AG$2:AG22, $P$21:$P$900), 0))</f>
        <v>#N/A</v>
      </c>
    </row>
    <row r="24" spans="1:33">
      <c r="A24">
        <f>'PSP Data'!A27</f>
        <v>0</v>
      </c>
      <c r="B24" t="str">
        <f>IF('PSP Data'!B27=0,"",'PSP Data'!B27)</f>
        <v/>
      </c>
      <c r="C24">
        <f>'PSP Data'!C27</f>
        <v>0</v>
      </c>
      <c r="D24">
        <f>'PSP Data'!D27</f>
        <v>0</v>
      </c>
      <c r="E24">
        <f>'PSP Data'!E27</f>
        <v>0</v>
      </c>
      <c r="F24">
        <f>'PSP Data'!F27</f>
        <v>0</v>
      </c>
      <c r="G24">
        <f>'PSP Data'!G27</f>
        <v>0</v>
      </c>
      <c r="H24">
        <f>'PSP Data'!H27</f>
        <v>0</v>
      </c>
      <c r="I24">
        <f>'PSP Data'!I27</f>
        <v>0</v>
      </c>
      <c r="J24" s="29" t="e">
        <f t="shared" si="0"/>
        <v>#N/A</v>
      </c>
      <c r="K24" s="29" t="e">
        <f>IF(AND((A24&lt;'PSP Data'!$C$11),(A24&lt;&gt;0)),Analysis!C24,#N/A)</f>
        <v>#N/A</v>
      </c>
      <c r="L24" t="e">
        <f>IF(VLOOKUP(B24,Table1[],4)=0,"unknown", VLOOKUP(B24,Table1[],4))</f>
        <v>#N/A</v>
      </c>
      <c r="M24">
        <v>1</v>
      </c>
      <c r="N24" t="e">
        <f t="shared" si="1"/>
        <v>#N/A</v>
      </c>
      <c r="O24" t="str">
        <f t="shared" si="2"/>
        <v/>
      </c>
      <c r="P24" t="str">
        <f t="shared" si="3"/>
        <v/>
      </c>
      <c r="Q24" t="str">
        <f t="shared" si="4"/>
        <v/>
      </c>
      <c r="R24">
        <v>1</v>
      </c>
      <c r="Y24" t="e">
        <f t="array" ref="Y24">INDEX($N$21:$N$900, MATCH(0, COUNTIF($Y$2:Y23, $N$21:$N$900), 0))</f>
        <v>#N/A</v>
      </c>
      <c r="AC24" t="e">
        <f t="array" ref="AC24">INDEX($O$21:$O$900, MATCH(0, COUNTIF($AC$2:AC23, $O$21:$O$900), 0))</f>
        <v>#N/A</v>
      </c>
      <c r="AG24" t="e">
        <f t="array" ref="AG24">INDEX($P$21:$P$900, MATCH(0, COUNTIF($AG$2:AG23, $P$21:$P$900), 0))</f>
        <v>#N/A</v>
      </c>
    </row>
    <row r="25" spans="1:33">
      <c r="A25">
        <f>'PSP Data'!A28</f>
        <v>0</v>
      </c>
      <c r="B25" t="str">
        <f>IF('PSP Data'!B28=0,"",'PSP Data'!B28)</f>
        <v/>
      </c>
      <c r="C25">
        <f>'PSP Data'!C28</f>
        <v>0</v>
      </c>
      <c r="D25">
        <f>'PSP Data'!D28</f>
        <v>0</v>
      </c>
      <c r="E25">
        <f>'PSP Data'!E28</f>
        <v>0</v>
      </c>
      <c r="F25">
        <f>'PSP Data'!F28</f>
        <v>0</v>
      </c>
      <c r="G25">
        <f>'PSP Data'!G28</f>
        <v>0</v>
      </c>
      <c r="H25">
        <f>'PSP Data'!H28</f>
        <v>0</v>
      </c>
      <c r="I25">
        <f>'PSP Data'!I28</f>
        <v>0</v>
      </c>
      <c r="J25" s="29" t="e">
        <f t="shared" si="0"/>
        <v>#N/A</v>
      </c>
      <c r="K25" s="29" t="e">
        <f>IF(AND((A25&lt;'PSP Data'!$C$11),(A25&lt;&gt;0)),Analysis!C25,#N/A)</f>
        <v>#N/A</v>
      </c>
      <c r="L25" t="e">
        <f>IF(VLOOKUP(B25,Table1[],4)=0,"unknown", VLOOKUP(B25,Table1[],4))</f>
        <v>#N/A</v>
      </c>
      <c r="M25">
        <v>1</v>
      </c>
      <c r="N25" t="e">
        <f t="shared" si="1"/>
        <v>#N/A</v>
      </c>
      <c r="O25" t="str">
        <f t="shared" si="2"/>
        <v/>
      </c>
      <c r="P25" t="str">
        <f t="shared" si="3"/>
        <v/>
      </c>
      <c r="Q25" t="str">
        <f t="shared" si="4"/>
        <v/>
      </c>
      <c r="R25">
        <v>1</v>
      </c>
      <c r="Y25" t="e">
        <f t="array" ref="Y25">INDEX($N$21:$N$900, MATCH(0, COUNTIF($Y$2:Y24, $N$21:$N$900), 0))</f>
        <v>#N/A</v>
      </c>
      <c r="AC25" t="e">
        <f t="array" ref="AC25">INDEX($O$21:$O$900, MATCH(0, COUNTIF($AC$2:AC24, $O$21:$O$900), 0))</f>
        <v>#N/A</v>
      </c>
      <c r="AG25" t="e">
        <f t="array" ref="AG25">INDEX($P$21:$P$900, MATCH(0, COUNTIF($AG$2:AG24, $P$21:$P$900), 0))</f>
        <v>#N/A</v>
      </c>
    </row>
    <row r="26" spans="1:33">
      <c r="A26">
        <f>'PSP Data'!A29</f>
        <v>0</v>
      </c>
      <c r="B26" t="str">
        <f>IF('PSP Data'!B29=0,"",'PSP Data'!B29)</f>
        <v/>
      </c>
      <c r="C26">
        <f>'PSP Data'!C29</f>
        <v>0</v>
      </c>
      <c r="D26">
        <f>'PSP Data'!D29</f>
        <v>0</v>
      </c>
      <c r="E26">
        <f>'PSP Data'!E29</f>
        <v>0</v>
      </c>
      <c r="F26">
        <f>'PSP Data'!F29</f>
        <v>0</v>
      </c>
      <c r="G26">
        <f>'PSP Data'!G29</f>
        <v>0</v>
      </c>
      <c r="H26">
        <f>'PSP Data'!H29</f>
        <v>0</v>
      </c>
      <c r="I26">
        <f>'PSP Data'!I29</f>
        <v>0</v>
      </c>
      <c r="J26" s="29" t="e">
        <f t="shared" si="0"/>
        <v>#N/A</v>
      </c>
      <c r="K26" s="29" t="e">
        <f>IF(AND((A26&lt;'PSP Data'!$C$11),(A26&lt;&gt;0)),Analysis!C26,#N/A)</f>
        <v>#N/A</v>
      </c>
      <c r="L26" t="e">
        <f>IF(VLOOKUP(B26,Table1[],4)=0,"unknown", VLOOKUP(B26,Table1[],4))</f>
        <v>#N/A</v>
      </c>
      <c r="M26">
        <v>1</v>
      </c>
      <c r="N26" t="e">
        <f t="shared" si="1"/>
        <v>#N/A</v>
      </c>
      <c r="O26" t="str">
        <f t="shared" si="2"/>
        <v/>
      </c>
      <c r="P26" t="str">
        <f t="shared" si="3"/>
        <v/>
      </c>
      <c r="Q26" t="str">
        <f t="shared" si="4"/>
        <v/>
      </c>
      <c r="R26">
        <v>1</v>
      </c>
      <c r="Y26" t="e">
        <f t="array" ref="Y26">INDEX($N$21:$N$900, MATCH(0, COUNTIF($Y$2:Y25, $N$21:$N$900), 0))</f>
        <v>#N/A</v>
      </c>
      <c r="AC26" t="e">
        <f t="array" ref="AC26">INDEX($O$21:$O$900, MATCH(0, COUNTIF($AC$2:AC25, $O$21:$O$900), 0))</f>
        <v>#N/A</v>
      </c>
      <c r="AG26" t="e">
        <f t="array" ref="AG26">INDEX($P$21:$P$900, MATCH(0, COUNTIF($AG$2:AG25, $P$21:$P$900), 0))</f>
        <v>#N/A</v>
      </c>
    </row>
    <row r="27" spans="1:33">
      <c r="A27">
        <f>'PSP Data'!A30</f>
        <v>0</v>
      </c>
      <c r="B27" t="str">
        <f>IF('PSP Data'!B30=0,"",'PSP Data'!B30)</f>
        <v/>
      </c>
      <c r="C27">
        <f>'PSP Data'!C30</f>
        <v>0</v>
      </c>
      <c r="D27">
        <f>'PSP Data'!D30</f>
        <v>0</v>
      </c>
      <c r="E27">
        <f>'PSP Data'!E30</f>
        <v>0</v>
      </c>
      <c r="F27">
        <f>'PSP Data'!F30</f>
        <v>0</v>
      </c>
      <c r="G27">
        <f>'PSP Data'!G30</f>
        <v>0</v>
      </c>
      <c r="H27">
        <f>'PSP Data'!H30</f>
        <v>0</v>
      </c>
      <c r="I27">
        <f>'PSP Data'!I30</f>
        <v>0</v>
      </c>
      <c r="J27" s="29" t="e">
        <f t="shared" si="0"/>
        <v>#N/A</v>
      </c>
      <c r="K27" s="29" t="e">
        <f>IF(AND((A27&lt;'PSP Data'!$C$11),(A27&lt;&gt;0)),Analysis!C27,#N/A)</f>
        <v>#N/A</v>
      </c>
      <c r="L27" t="e">
        <f>IF(VLOOKUP(B27,Table1[],4)=0,"unknown", VLOOKUP(B27,Table1[],4))</f>
        <v>#N/A</v>
      </c>
      <c r="M27">
        <v>1</v>
      </c>
      <c r="N27" t="e">
        <f t="shared" si="1"/>
        <v>#N/A</v>
      </c>
      <c r="O27" t="str">
        <f t="shared" si="2"/>
        <v/>
      </c>
      <c r="P27" t="str">
        <f t="shared" si="3"/>
        <v/>
      </c>
      <c r="Q27" t="str">
        <f t="shared" si="4"/>
        <v/>
      </c>
      <c r="R27">
        <v>1</v>
      </c>
      <c r="Y27" t="e">
        <f t="array" ref="Y27">INDEX($N$21:$N$900, MATCH(0, COUNTIF($Y$2:Y26, $N$21:$N$900), 0))</f>
        <v>#N/A</v>
      </c>
      <c r="AC27" t="e">
        <f t="array" ref="AC27">INDEX($O$21:$O$900, MATCH(0, COUNTIF($AC$2:AC26, $O$21:$O$900), 0))</f>
        <v>#N/A</v>
      </c>
      <c r="AG27" t="e">
        <f t="array" ref="AG27">INDEX($P$21:$P$900, MATCH(0, COUNTIF($AG$2:AG26, $P$21:$P$900), 0))</f>
        <v>#N/A</v>
      </c>
    </row>
    <row r="28" spans="1:33">
      <c r="A28">
        <f>'PSP Data'!A31</f>
        <v>0</v>
      </c>
      <c r="B28" t="str">
        <f>IF('PSP Data'!B31=0,"",'PSP Data'!B31)</f>
        <v/>
      </c>
      <c r="C28">
        <f>'PSP Data'!C31</f>
        <v>0</v>
      </c>
      <c r="D28">
        <f>'PSP Data'!D31</f>
        <v>0</v>
      </c>
      <c r="E28">
        <f>'PSP Data'!E31</f>
        <v>0</v>
      </c>
      <c r="F28">
        <f>'PSP Data'!F31</f>
        <v>0</v>
      </c>
      <c r="G28">
        <f>'PSP Data'!G31</f>
        <v>0</v>
      </c>
      <c r="H28">
        <f>'PSP Data'!H31</f>
        <v>0</v>
      </c>
      <c r="I28">
        <f>'PSP Data'!I31</f>
        <v>0</v>
      </c>
      <c r="J28" s="29" t="e">
        <f t="shared" si="0"/>
        <v>#N/A</v>
      </c>
      <c r="K28" s="29" t="e">
        <f>IF(AND((A28&lt;'PSP Data'!$C$11),(A28&lt;&gt;0)),Analysis!C28,#N/A)</f>
        <v>#N/A</v>
      </c>
      <c r="L28" t="e">
        <f>IF(VLOOKUP(B28,Table1[],4)=0,"unknown", VLOOKUP(B28,Table1[],4))</f>
        <v>#N/A</v>
      </c>
      <c r="M28">
        <v>1</v>
      </c>
      <c r="N28" t="e">
        <f t="shared" si="1"/>
        <v>#N/A</v>
      </c>
      <c r="O28" t="str">
        <f t="shared" si="2"/>
        <v/>
      </c>
      <c r="P28" t="str">
        <f t="shared" si="3"/>
        <v/>
      </c>
      <c r="Q28" t="str">
        <f t="shared" si="4"/>
        <v/>
      </c>
      <c r="R28">
        <v>1</v>
      </c>
      <c r="Y28" t="e">
        <f t="array" ref="Y28">INDEX($N$21:$N$900, MATCH(0, COUNTIF($Y$2:Y27, $N$21:$N$900), 0))</f>
        <v>#N/A</v>
      </c>
      <c r="AC28" t="e">
        <f t="array" ref="AC28">INDEX($O$21:$O$900, MATCH(0, COUNTIF($AC$2:AC27, $O$21:$O$900), 0))</f>
        <v>#N/A</v>
      </c>
      <c r="AG28" t="e">
        <f t="array" ref="AG28">INDEX($P$21:$P$900, MATCH(0, COUNTIF($AG$2:AG27, $P$21:$P$900), 0))</f>
        <v>#N/A</v>
      </c>
    </row>
    <row r="29" spans="1:33">
      <c r="A29">
        <f>'PSP Data'!A32</f>
        <v>0</v>
      </c>
      <c r="B29" t="str">
        <f>IF('PSP Data'!B32=0,"",'PSP Data'!B32)</f>
        <v/>
      </c>
      <c r="C29">
        <f>'PSP Data'!C32</f>
        <v>0</v>
      </c>
      <c r="D29">
        <f>'PSP Data'!D32</f>
        <v>0</v>
      </c>
      <c r="E29">
        <f>'PSP Data'!E32</f>
        <v>0</v>
      </c>
      <c r="F29">
        <f>'PSP Data'!F32</f>
        <v>0</v>
      </c>
      <c r="G29">
        <f>'PSP Data'!G32</f>
        <v>0</v>
      </c>
      <c r="H29">
        <f>'PSP Data'!H32</f>
        <v>0</v>
      </c>
      <c r="I29">
        <f>'PSP Data'!I32</f>
        <v>0</v>
      </c>
      <c r="J29" s="29" t="e">
        <f t="shared" si="0"/>
        <v>#N/A</v>
      </c>
      <c r="K29" s="29" t="e">
        <f>IF(AND((A29&lt;'PSP Data'!$C$11),(A29&lt;&gt;0)),Analysis!C29,#N/A)</f>
        <v>#N/A</v>
      </c>
      <c r="L29" t="e">
        <f>IF(VLOOKUP(B29,Table1[],4)=0,"unknown", VLOOKUP(B29,Table1[],4))</f>
        <v>#N/A</v>
      </c>
      <c r="M29">
        <v>1</v>
      </c>
      <c r="N29" t="e">
        <f t="shared" si="1"/>
        <v>#N/A</v>
      </c>
      <c r="O29" t="str">
        <f t="shared" si="2"/>
        <v/>
      </c>
      <c r="P29" t="str">
        <f t="shared" si="3"/>
        <v/>
      </c>
      <c r="Q29" t="str">
        <f t="shared" si="4"/>
        <v/>
      </c>
      <c r="R29">
        <v>1</v>
      </c>
      <c r="Y29" t="e">
        <f t="array" ref="Y29">INDEX($N$21:$N$900, MATCH(0, COUNTIF($Y$2:Y28, $N$21:$N$900), 0))</f>
        <v>#N/A</v>
      </c>
      <c r="AC29" t="e">
        <f t="array" ref="AC29">INDEX($O$21:$O$900, MATCH(0, COUNTIF($AC$2:AC28, $O$21:$O$900), 0))</f>
        <v>#N/A</v>
      </c>
      <c r="AG29" t="e">
        <f t="array" ref="AG29">INDEX($P$21:$P$900, MATCH(0, COUNTIF($AG$2:AG28, $P$21:$P$900), 0))</f>
        <v>#N/A</v>
      </c>
    </row>
    <row r="30" spans="1:33">
      <c r="A30">
        <f>'PSP Data'!A33</f>
        <v>0</v>
      </c>
      <c r="B30" t="str">
        <f>IF('PSP Data'!B33=0,"",'PSP Data'!B33)</f>
        <v/>
      </c>
      <c r="C30">
        <f>'PSP Data'!C33</f>
        <v>0</v>
      </c>
      <c r="D30">
        <f>'PSP Data'!D33</f>
        <v>0</v>
      </c>
      <c r="E30">
        <f>'PSP Data'!E33</f>
        <v>0</v>
      </c>
      <c r="F30">
        <f>'PSP Data'!F33</f>
        <v>0</v>
      </c>
      <c r="G30">
        <f>'PSP Data'!G33</f>
        <v>0</v>
      </c>
      <c r="H30">
        <f>'PSP Data'!H33</f>
        <v>0</v>
      </c>
      <c r="I30">
        <f>'PSP Data'!I33</f>
        <v>0</v>
      </c>
      <c r="J30" s="29" t="e">
        <f t="shared" si="0"/>
        <v>#N/A</v>
      </c>
      <c r="K30" s="29" t="e">
        <f>IF(AND((A30&lt;'PSP Data'!$C$11),(A30&lt;&gt;0)),Analysis!C30,#N/A)</f>
        <v>#N/A</v>
      </c>
      <c r="L30" t="e">
        <f>IF(VLOOKUP(B30,Table1[],4)=0,"unknown", VLOOKUP(B30,Table1[],4))</f>
        <v>#N/A</v>
      </c>
      <c r="M30">
        <v>1</v>
      </c>
      <c r="N30" t="e">
        <f t="shared" si="1"/>
        <v>#N/A</v>
      </c>
      <c r="O30" t="str">
        <f t="shared" si="2"/>
        <v/>
      </c>
      <c r="P30" t="str">
        <f t="shared" si="3"/>
        <v/>
      </c>
      <c r="Q30" t="str">
        <f t="shared" si="4"/>
        <v/>
      </c>
      <c r="R30">
        <v>1</v>
      </c>
      <c r="Y30" t="e">
        <f t="array" ref="Y30">INDEX($N$21:$N$900, MATCH(0, COUNTIF($Y$2:Y29, $N$21:$N$900), 0))</f>
        <v>#N/A</v>
      </c>
      <c r="AC30" t="e">
        <f t="array" ref="AC30">INDEX($O$21:$O$900, MATCH(0, COUNTIF($AC$2:AC29, $O$21:$O$900), 0))</f>
        <v>#N/A</v>
      </c>
      <c r="AG30" t="e">
        <f t="array" ref="AG30">INDEX($P$21:$P$900, MATCH(0, COUNTIF($AG$2:AG29, $P$21:$P$900), 0))</f>
        <v>#N/A</v>
      </c>
    </row>
    <row r="31" spans="1:33">
      <c r="A31">
        <f>'PSP Data'!A34</f>
        <v>0</v>
      </c>
      <c r="B31" t="str">
        <f>IF('PSP Data'!B34=0,"",'PSP Data'!B34)</f>
        <v/>
      </c>
      <c r="C31">
        <f>'PSP Data'!C34</f>
        <v>0</v>
      </c>
      <c r="D31">
        <f>'PSP Data'!D34</f>
        <v>0</v>
      </c>
      <c r="E31">
        <f>'PSP Data'!E34</f>
        <v>0</v>
      </c>
      <c r="F31">
        <f>'PSP Data'!F34</f>
        <v>0</v>
      </c>
      <c r="G31">
        <f>'PSP Data'!G34</f>
        <v>0</v>
      </c>
      <c r="H31">
        <f>'PSP Data'!H34</f>
        <v>0</v>
      </c>
      <c r="I31">
        <f>'PSP Data'!I34</f>
        <v>0</v>
      </c>
      <c r="J31" s="29" t="e">
        <f t="shared" si="0"/>
        <v>#N/A</v>
      </c>
      <c r="K31" s="29" t="e">
        <f>IF(AND((A31&lt;'PSP Data'!$C$11),(A31&lt;&gt;0)),Analysis!C31,#N/A)</f>
        <v>#N/A</v>
      </c>
      <c r="L31" t="e">
        <f>IF(VLOOKUP(B31,Table1[],4)=0,"unknown", VLOOKUP(B31,Table1[],4))</f>
        <v>#N/A</v>
      </c>
      <c r="M31">
        <v>1</v>
      </c>
      <c r="N31" t="e">
        <f t="shared" si="1"/>
        <v>#N/A</v>
      </c>
      <c r="O31" t="str">
        <f t="shared" si="2"/>
        <v/>
      </c>
      <c r="P31" t="str">
        <f t="shared" si="3"/>
        <v/>
      </c>
      <c r="Q31" t="str">
        <f t="shared" si="4"/>
        <v/>
      </c>
      <c r="R31">
        <v>1</v>
      </c>
      <c r="Y31" t="e">
        <f t="array" ref="Y31">INDEX($N$21:$N$900, MATCH(0, COUNTIF($Y$2:Y30, $N$21:$N$900), 0))</f>
        <v>#N/A</v>
      </c>
      <c r="AC31" t="e">
        <f t="array" ref="AC31">INDEX($O$21:$O$900, MATCH(0, COUNTIF($AC$2:AC30, $O$21:$O$900), 0))</f>
        <v>#N/A</v>
      </c>
      <c r="AG31" t="e">
        <f t="array" ref="AG31">INDEX($P$21:$P$900, MATCH(0, COUNTIF($AG$2:AG30, $P$21:$P$900), 0))</f>
        <v>#N/A</v>
      </c>
    </row>
    <row r="32" spans="1:33">
      <c r="A32">
        <f>'PSP Data'!A35</f>
        <v>0</v>
      </c>
      <c r="B32" t="str">
        <f>IF('PSP Data'!B35=0,"",'PSP Data'!B35)</f>
        <v/>
      </c>
      <c r="C32">
        <f>'PSP Data'!C35</f>
        <v>0</v>
      </c>
      <c r="D32">
        <f>'PSP Data'!D35</f>
        <v>0</v>
      </c>
      <c r="E32">
        <f>'PSP Data'!E35</f>
        <v>0</v>
      </c>
      <c r="F32">
        <f>'PSP Data'!F35</f>
        <v>0</v>
      </c>
      <c r="G32">
        <f>'PSP Data'!G35</f>
        <v>0</v>
      </c>
      <c r="H32">
        <f>'PSP Data'!H35</f>
        <v>0</v>
      </c>
      <c r="I32">
        <f>'PSP Data'!I35</f>
        <v>0</v>
      </c>
      <c r="J32" s="29" t="e">
        <f t="shared" si="0"/>
        <v>#N/A</v>
      </c>
      <c r="K32" s="29" t="e">
        <f>IF(AND((A32&lt;'PSP Data'!$C$11),(A32&lt;&gt;0)),Analysis!C32,#N/A)</f>
        <v>#N/A</v>
      </c>
      <c r="L32" t="e">
        <f>IF(VLOOKUP(B32,Table1[],4)=0,"unknown", VLOOKUP(B32,Table1[],4))</f>
        <v>#N/A</v>
      </c>
      <c r="M32">
        <v>1</v>
      </c>
      <c r="N32" t="e">
        <f t="shared" si="1"/>
        <v>#N/A</v>
      </c>
      <c r="O32" t="str">
        <f t="shared" si="2"/>
        <v/>
      </c>
      <c r="P32" t="str">
        <f t="shared" si="3"/>
        <v/>
      </c>
      <c r="Q32" t="str">
        <f t="shared" si="4"/>
        <v/>
      </c>
      <c r="R32">
        <v>1</v>
      </c>
      <c r="Y32" t="e">
        <f t="array" ref="Y32">INDEX($N$21:$N$900, MATCH(0, COUNTIF($Y$2:Y31, $N$21:$N$900), 0))</f>
        <v>#N/A</v>
      </c>
      <c r="AC32" t="e">
        <f t="array" ref="AC32">INDEX($O$21:$O$900, MATCH(0, COUNTIF($AC$2:AC31, $O$21:$O$900), 0))</f>
        <v>#N/A</v>
      </c>
      <c r="AG32" t="e">
        <f t="array" ref="AG32">INDEX($P$21:$P$900, MATCH(0, COUNTIF($AG$2:AG31, $P$21:$P$900), 0))</f>
        <v>#N/A</v>
      </c>
    </row>
    <row r="33" spans="1:35">
      <c r="A33">
        <f>'PSP Data'!A36</f>
        <v>0</v>
      </c>
      <c r="B33" t="str">
        <f>IF('PSP Data'!B36=0,"",'PSP Data'!B36)</f>
        <v/>
      </c>
      <c r="C33">
        <f>'PSP Data'!C36</f>
        <v>0</v>
      </c>
      <c r="D33">
        <f>'PSP Data'!D36</f>
        <v>0</v>
      </c>
      <c r="E33">
        <f>'PSP Data'!E36</f>
        <v>0</v>
      </c>
      <c r="F33">
        <f>'PSP Data'!F36</f>
        <v>0</v>
      </c>
      <c r="G33">
        <f>'PSP Data'!G36</f>
        <v>0</v>
      </c>
      <c r="H33">
        <f>'PSP Data'!H36</f>
        <v>0</v>
      </c>
      <c r="I33">
        <f>'PSP Data'!I36</f>
        <v>0</v>
      </c>
      <c r="J33" s="29" t="e">
        <f t="shared" si="0"/>
        <v>#N/A</v>
      </c>
      <c r="K33" s="29" t="e">
        <f>IF(AND((A33&lt;'PSP Data'!$C$11),(A33&lt;&gt;0)),Analysis!C33,#N/A)</f>
        <v>#N/A</v>
      </c>
      <c r="L33" t="e">
        <f>IF(VLOOKUP(B33,Table1[],4)=0,"unknown", VLOOKUP(B33,Table1[],4))</f>
        <v>#N/A</v>
      </c>
      <c r="M33">
        <v>1</v>
      </c>
      <c r="N33" t="e">
        <f t="shared" si="1"/>
        <v>#N/A</v>
      </c>
      <c r="O33" t="str">
        <f t="shared" si="2"/>
        <v/>
      </c>
      <c r="P33" t="str">
        <f t="shared" si="3"/>
        <v/>
      </c>
      <c r="Q33" t="str">
        <f t="shared" si="4"/>
        <v/>
      </c>
      <c r="R33">
        <v>1</v>
      </c>
      <c r="Y33" t="e">
        <f t="array" ref="Y33">INDEX($N$21:$N$900, MATCH(0, COUNTIF($Y$2:Y32, $N$21:$N$900), 0))</f>
        <v>#N/A</v>
      </c>
      <c r="AC33" t="e">
        <f t="array" ref="AC33">INDEX($O$21:$O$900, MATCH(0, COUNTIF($AC$2:AC32, $O$21:$O$900), 0))</f>
        <v>#N/A</v>
      </c>
      <c r="AG33" t="e">
        <f t="array" ref="AG33">INDEX($P$21:$P$900, MATCH(0, COUNTIF($AG$2:AG32, $P$21:$P$900), 0))</f>
        <v>#N/A</v>
      </c>
    </row>
    <row r="34" spans="1:35">
      <c r="A34">
        <f>'PSP Data'!A37</f>
        <v>0</v>
      </c>
      <c r="B34" t="str">
        <f>IF('PSP Data'!B37=0,"",'PSP Data'!B37)</f>
        <v/>
      </c>
      <c r="C34">
        <f>'PSP Data'!C37</f>
        <v>0</v>
      </c>
      <c r="D34">
        <f>'PSP Data'!D37</f>
        <v>0</v>
      </c>
      <c r="E34">
        <f>'PSP Data'!E37</f>
        <v>0</v>
      </c>
      <c r="F34">
        <f>'PSP Data'!F37</f>
        <v>0</v>
      </c>
      <c r="G34">
        <f>'PSP Data'!G37</f>
        <v>0</v>
      </c>
      <c r="H34">
        <f>'PSP Data'!H37</f>
        <v>0</v>
      </c>
      <c r="I34">
        <f>'PSP Data'!I37</f>
        <v>0</v>
      </c>
      <c r="J34" s="29" t="e">
        <f t="shared" si="0"/>
        <v>#N/A</v>
      </c>
      <c r="K34" s="29" t="e">
        <f>IF(AND((A34&lt;'PSP Data'!$C$11),(A34&lt;&gt;0)),Analysis!C34,#N/A)</f>
        <v>#N/A</v>
      </c>
      <c r="L34" t="e">
        <f>IF(VLOOKUP(B34,Table1[],4)=0,"unknown", VLOOKUP(B34,Table1[],4))</f>
        <v>#N/A</v>
      </c>
      <c r="M34">
        <v>1</v>
      </c>
      <c r="N34" t="e">
        <f t="shared" si="1"/>
        <v>#N/A</v>
      </c>
      <c r="O34" t="str">
        <f t="shared" si="2"/>
        <v/>
      </c>
      <c r="P34" t="str">
        <f t="shared" si="3"/>
        <v/>
      </c>
      <c r="Q34" t="str">
        <f t="shared" si="4"/>
        <v/>
      </c>
      <c r="R34">
        <v>1</v>
      </c>
      <c r="Y34" t="e">
        <f t="array" ref="Y34">INDEX($N$21:$N$900, MATCH(0, COUNTIF($Y$2:Y33, $N$21:$N$900), 0))</f>
        <v>#N/A</v>
      </c>
      <c r="AC34" t="e">
        <f t="array" ref="AC34">INDEX($O$21:$O$900, MATCH(0, COUNTIF($AC$2:AC33, $O$21:$O$900), 0))</f>
        <v>#N/A</v>
      </c>
      <c r="AG34" t="e">
        <f t="array" ref="AG34">INDEX($P$21:$P$900, MATCH(0, COUNTIF($AG$2:AG33, $P$21:$P$900), 0))</f>
        <v>#N/A</v>
      </c>
    </row>
    <row r="35" spans="1:35">
      <c r="A35">
        <f>'PSP Data'!A38</f>
        <v>0</v>
      </c>
      <c r="B35" t="str">
        <f>IF('PSP Data'!B38=0,"",'PSP Data'!B38)</f>
        <v/>
      </c>
      <c r="C35">
        <f>'PSP Data'!C38</f>
        <v>0</v>
      </c>
      <c r="D35">
        <f>'PSP Data'!D38</f>
        <v>0</v>
      </c>
      <c r="E35">
        <f>'PSP Data'!E38</f>
        <v>0</v>
      </c>
      <c r="F35">
        <f>'PSP Data'!F38</f>
        <v>0</v>
      </c>
      <c r="G35">
        <f>'PSP Data'!G38</f>
        <v>0</v>
      </c>
      <c r="H35">
        <f>'PSP Data'!H38</f>
        <v>0</v>
      </c>
      <c r="I35">
        <f>'PSP Data'!I38</f>
        <v>0</v>
      </c>
      <c r="J35" s="29" t="e">
        <f t="shared" si="0"/>
        <v>#N/A</v>
      </c>
      <c r="K35" s="29" t="e">
        <f>IF(AND((A35&lt;'PSP Data'!$C$11),(A35&lt;&gt;0)),Analysis!C35,#N/A)</f>
        <v>#N/A</v>
      </c>
      <c r="L35" t="e">
        <f>IF(VLOOKUP(B35,Table1[],4)=0,"unknown", VLOOKUP(B35,Table1[],4))</f>
        <v>#N/A</v>
      </c>
      <c r="M35">
        <v>1</v>
      </c>
      <c r="N35" t="e">
        <f t="shared" si="1"/>
        <v>#N/A</v>
      </c>
      <c r="O35" t="str">
        <f t="shared" si="2"/>
        <v/>
      </c>
      <c r="P35" t="str">
        <f t="shared" si="3"/>
        <v/>
      </c>
      <c r="Q35" t="str">
        <f t="shared" si="4"/>
        <v/>
      </c>
      <c r="R35">
        <v>1</v>
      </c>
      <c r="Y35" t="e">
        <f t="array" ref="Y35">INDEX($N$21:$N$900, MATCH(0, COUNTIF($Y$2:Y34, $N$21:$N$900), 0))</f>
        <v>#N/A</v>
      </c>
      <c r="AC35" t="e">
        <f t="array" ref="AC35">INDEX($O$21:$O$900, MATCH(0, COUNTIF($AC$2:AC34, $O$21:$O$900), 0))</f>
        <v>#N/A</v>
      </c>
      <c r="AG35" t="e">
        <f t="array" ref="AG35">INDEX($P$21:$P$900, MATCH(0, COUNTIF($AG$2:AG34, $P$21:$P$900), 0))</f>
        <v>#N/A</v>
      </c>
    </row>
    <row r="36" spans="1:35">
      <c r="A36">
        <f>'PSP Data'!A39</f>
        <v>0</v>
      </c>
      <c r="B36" t="str">
        <f>IF('PSP Data'!B39=0,"",'PSP Data'!B39)</f>
        <v/>
      </c>
      <c r="C36">
        <f>'PSP Data'!C39</f>
        <v>0</v>
      </c>
      <c r="D36">
        <f>'PSP Data'!D39</f>
        <v>0</v>
      </c>
      <c r="E36">
        <f>'PSP Data'!E39</f>
        <v>0</v>
      </c>
      <c r="F36">
        <f>'PSP Data'!F39</f>
        <v>0</v>
      </c>
      <c r="G36">
        <f>'PSP Data'!G39</f>
        <v>0</v>
      </c>
      <c r="H36">
        <f>'PSP Data'!H39</f>
        <v>0</v>
      </c>
      <c r="I36">
        <f>'PSP Data'!I39</f>
        <v>0</v>
      </c>
      <c r="J36" s="29" t="e">
        <f t="shared" si="0"/>
        <v>#N/A</v>
      </c>
      <c r="K36" s="29" t="e">
        <f>IF(AND((A36&lt;'PSP Data'!$C$11),(A36&lt;&gt;0)),Analysis!C36,#N/A)</f>
        <v>#N/A</v>
      </c>
      <c r="L36" t="e">
        <f>IF(VLOOKUP(B36,Table1[],4)=0,"unknown", VLOOKUP(B36,Table1[],4))</f>
        <v>#N/A</v>
      </c>
      <c r="M36">
        <v>1</v>
      </c>
      <c r="N36" t="e">
        <f t="shared" si="1"/>
        <v>#N/A</v>
      </c>
      <c r="O36" t="str">
        <f t="shared" si="2"/>
        <v/>
      </c>
      <c r="P36" t="str">
        <f t="shared" si="3"/>
        <v/>
      </c>
      <c r="Q36" t="str">
        <f t="shared" si="4"/>
        <v/>
      </c>
      <c r="R36">
        <v>1</v>
      </c>
      <c r="Y36" t="e">
        <f t="array" ref="Y36">INDEX($N$21:$N$900, MATCH(0, COUNTIF($Y$2:Y35, $N$21:$N$900), 0))</f>
        <v>#N/A</v>
      </c>
      <c r="AC36" t="e">
        <f t="array" ref="AC36">INDEX($O$21:$O$900, MATCH(0, COUNTIF($AC$2:AC35, $O$21:$O$900), 0))</f>
        <v>#N/A</v>
      </c>
      <c r="AG36" t="e">
        <f t="array" ref="AG36">INDEX($P$21:$P$900, MATCH(0, COUNTIF($AG$2:AG35, $P$21:$P$900), 0))</f>
        <v>#N/A</v>
      </c>
    </row>
    <row r="37" spans="1:35">
      <c r="A37">
        <f>'PSP Data'!A40</f>
        <v>0</v>
      </c>
      <c r="B37" t="str">
        <f>IF('PSP Data'!B40=0,"",'PSP Data'!B40)</f>
        <v/>
      </c>
      <c r="C37">
        <f>'PSP Data'!C40</f>
        <v>0</v>
      </c>
      <c r="D37">
        <f>'PSP Data'!D40</f>
        <v>0</v>
      </c>
      <c r="E37">
        <f>'PSP Data'!E40</f>
        <v>0</v>
      </c>
      <c r="F37">
        <f>'PSP Data'!F40</f>
        <v>0</v>
      </c>
      <c r="G37">
        <f>'PSP Data'!G40</f>
        <v>0</v>
      </c>
      <c r="H37">
        <f>'PSP Data'!H40</f>
        <v>0</v>
      </c>
      <c r="I37">
        <f>'PSP Data'!I40</f>
        <v>0</v>
      </c>
      <c r="J37" s="29" t="e">
        <f t="shared" si="0"/>
        <v>#N/A</v>
      </c>
      <c r="K37" s="29" t="e">
        <f>IF(AND((A37&lt;'PSP Data'!$C$11),(A37&lt;&gt;0)),Analysis!C37,#N/A)</f>
        <v>#N/A</v>
      </c>
      <c r="L37" t="e">
        <f>IF(VLOOKUP(B37,Table1[],4)=0,"unknown", VLOOKUP(B37,Table1[],4))</f>
        <v>#N/A</v>
      </c>
      <c r="M37">
        <v>1</v>
      </c>
      <c r="N37" t="e">
        <f t="shared" si="1"/>
        <v>#N/A</v>
      </c>
      <c r="O37" t="str">
        <f t="shared" si="2"/>
        <v/>
      </c>
      <c r="P37" t="str">
        <f t="shared" si="3"/>
        <v/>
      </c>
      <c r="Q37" t="str">
        <f t="shared" si="4"/>
        <v/>
      </c>
      <c r="R37">
        <v>1</v>
      </c>
      <c r="Y37" t="e">
        <f t="array" ref="Y37">INDEX($N$21:$N$900, MATCH(0, COUNTIF($Y$2:Y36, $N$21:$N$900), 0))</f>
        <v>#N/A</v>
      </c>
      <c r="AC37" t="e">
        <f t="array" ref="AC37">INDEX($O$21:$O$900, MATCH(0, COUNTIF($AC$2:AC36, $O$21:$O$900), 0))</f>
        <v>#N/A</v>
      </c>
      <c r="AG37" t="e">
        <f t="array" ref="AG37">INDEX($P$21:$P$900, MATCH(0, COUNTIF($AG$2:AG36, $P$21:$P$900), 0))</f>
        <v>#N/A</v>
      </c>
    </row>
    <row r="38" spans="1:35">
      <c r="A38">
        <f>'PSP Data'!A41</f>
        <v>0</v>
      </c>
      <c r="B38" t="str">
        <f>IF('PSP Data'!B41=0,"",'PSP Data'!B41)</f>
        <v/>
      </c>
      <c r="C38">
        <f>'PSP Data'!C41</f>
        <v>0</v>
      </c>
      <c r="D38">
        <f>'PSP Data'!D41</f>
        <v>0</v>
      </c>
      <c r="E38">
        <f>'PSP Data'!E41</f>
        <v>0</v>
      </c>
      <c r="F38">
        <f>'PSP Data'!F41</f>
        <v>0</v>
      </c>
      <c r="G38">
        <f>'PSP Data'!G41</f>
        <v>0</v>
      </c>
      <c r="H38">
        <f>'PSP Data'!H41</f>
        <v>0</v>
      </c>
      <c r="I38">
        <f>'PSP Data'!I41</f>
        <v>0</v>
      </c>
      <c r="J38" s="29" t="e">
        <f t="shared" si="0"/>
        <v>#N/A</v>
      </c>
      <c r="K38" s="29" t="e">
        <f>IF(AND((A38&lt;'PSP Data'!$C$11),(A38&lt;&gt;0)),Analysis!C38,#N/A)</f>
        <v>#N/A</v>
      </c>
      <c r="L38" t="e">
        <f>IF(VLOOKUP(B38,Table1[],4)=0,"unknown", VLOOKUP(B38,Table1[],4))</f>
        <v>#N/A</v>
      </c>
      <c r="M38">
        <v>1</v>
      </c>
      <c r="N38" t="e">
        <f t="shared" si="1"/>
        <v>#N/A</v>
      </c>
      <c r="O38" t="str">
        <f t="shared" si="2"/>
        <v/>
      </c>
      <c r="P38" t="str">
        <f t="shared" si="3"/>
        <v/>
      </c>
      <c r="Q38" t="str">
        <f t="shared" si="4"/>
        <v/>
      </c>
      <c r="R38">
        <v>1</v>
      </c>
      <c r="Y38" t="e">
        <f t="array" ref="Y38">INDEX($N$21:$N$900, MATCH(0, COUNTIF($Y$2:Y37, $N$21:$N$900), 0))</f>
        <v>#N/A</v>
      </c>
      <c r="AC38" t="e">
        <f t="array" ref="AC38">INDEX($O$21:$O$900, MATCH(0, COUNTIF($AC$2:AC37, $O$21:$O$900), 0))</f>
        <v>#N/A</v>
      </c>
      <c r="AG38" t="e">
        <f t="array" ref="AG38">INDEX($P$21:$P$900, MATCH(0, COUNTIF($AG$2:AG37, $P$21:$P$900), 0))</f>
        <v>#N/A</v>
      </c>
    </row>
    <row r="39" spans="1:35">
      <c r="A39">
        <f>'PSP Data'!A42</f>
        <v>0</v>
      </c>
      <c r="B39" t="str">
        <f>IF('PSP Data'!B42=0,"",'PSP Data'!B42)</f>
        <v/>
      </c>
      <c r="C39">
        <f>'PSP Data'!C42</f>
        <v>0</v>
      </c>
      <c r="D39">
        <f>'PSP Data'!D42</f>
        <v>0</v>
      </c>
      <c r="E39">
        <f>'PSP Data'!E42</f>
        <v>0</v>
      </c>
      <c r="F39">
        <f>'PSP Data'!F42</f>
        <v>0</v>
      </c>
      <c r="G39">
        <f>'PSP Data'!G42</f>
        <v>0</v>
      </c>
      <c r="H39">
        <f>'PSP Data'!H42</f>
        <v>0</v>
      </c>
      <c r="I39">
        <f>'PSP Data'!I42</f>
        <v>0</v>
      </c>
      <c r="J39" s="29" t="e">
        <f t="shared" si="0"/>
        <v>#N/A</v>
      </c>
      <c r="K39" s="29" t="e">
        <f>IF(AND((A39&lt;'PSP Data'!$C$11),(A39&lt;&gt;0)),Analysis!C39,#N/A)</f>
        <v>#N/A</v>
      </c>
      <c r="L39" t="e">
        <f>IF(VLOOKUP(B39,Table1[],4)=0,"unknown", VLOOKUP(B39,Table1[],4))</f>
        <v>#N/A</v>
      </c>
      <c r="M39">
        <v>1</v>
      </c>
      <c r="N39" t="e">
        <f t="shared" si="1"/>
        <v>#N/A</v>
      </c>
      <c r="O39" t="str">
        <f t="shared" si="2"/>
        <v/>
      </c>
      <c r="P39" t="str">
        <f t="shared" si="3"/>
        <v/>
      </c>
      <c r="Q39" t="str">
        <f t="shared" si="4"/>
        <v/>
      </c>
      <c r="R39">
        <v>1</v>
      </c>
      <c r="Y39" t="e">
        <f t="array" ref="Y39">INDEX($N$21:$N$900, MATCH(0, COUNTIF($Y$2:Y38, $N$21:$N$900), 0))</f>
        <v>#N/A</v>
      </c>
      <c r="AC39" t="e">
        <f t="array" ref="AC39">INDEX($O$21:$O$900, MATCH(0, COUNTIF($AC$2:AC38, $O$21:$O$900), 0))</f>
        <v>#N/A</v>
      </c>
      <c r="AG39" t="e">
        <f t="array" ref="AG39">INDEX($P$21:$P$900, MATCH(0, COUNTIF($AG$2:AG38, $P$21:$P$900), 0))</f>
        <v>#N/A</v>
      </c>
    </row>
    <row r="40" spans="1:35">
      <c r="A40">
        <f>'PSP Data'!A43</f>
        <v>0</v>
      </c>
      <c r="B40" t="str">
        <f>IF('PSP Data'!B43=0,"",'PSP Data'!B43)</f>
        <v/>
      </c>
      <c r="C40">
        <f>'PSP Data'!C43</f>
        <v>0</v>
      </c>
      <c r="D40">
        <f>'PSP Data'!D43</f>
        <v>0</v>
      </c>
      <c r="E40">
        <f>'PSP Data'!E43</f>
        <v>0</v>
      </c>
      <c r="F40">
        <f>'PSP Data'!F43</f>
        <v>0</v>
      </c>
      <c r="G40">
        <f>'PSP Data'!G43</f>
        <v>0</v>
      </c>
      <c r="H40">
        <f>'PSP Data'!H43</f>
        <v>0</v>
      </c>
      <c r="I40">
        <f>'PSP Data'!I43</f>
        <v>0</v>
      </c>
      <c r="J40" s="29" t="e">
        <f t="shared" si="0"/>
        <v>#N/A</v>
      </c>
      <c r="K40" s="29" t="e">
        <f>IF(AND((A40&lt;'PSP Data'!$C$11),(A40&lt;&gt;0)),Analysis!C40,#N/A)</f>
        <v>#N/A</v>
      </c>
      <c r="L40" t="e">
        <f>IF(VLOOKUP(B40,Table1[],4)=0,"unknown", VLOOKUP(B40,Table1[],4))</f>
        <v>#N/A</v>
      </c>
      <c r="M40">
        <v>1</v>
      </c>
      <c r="N40" t="e">
        <f t="shared" si="1"/>
        <v>#N/A</v>
      </c>
      <c r="O40" t="str">
        <f t="shared" si="2"/>
        <v/>
      </c>
      <c r="P40" t="str">
        <f t="shared" si="3"/>
        <v/>
      </c>
      <c r="Q40" t="str">
        <f t="shared" si="4"/>
        <v/>
      </c>
      <c r="R40">
        <v>1</v>
      </c>
      <c r="Y40" t="e">
        <f t="array" ref="Y40">INDEX($N$21:$N$900, MATCH(0, COUNTIF($Y$2:Y39, $N$21:$N$900), 0))</f>
        <v>#N/A</v>
      </c>
      <c r="AC40" t="e">
        <f t="array" ref="AC40">INDEX($O$21:$O$900, MATCH(0, COUNTIF($AC$2:AC39, $O$21:$O$900), 0))</f>
        <v>#N/A</v>
      </c>
      <c r="AG40" t="e">
        <f t="array" ref="AG40">INDEX($P$21:$P$900, MATCH(0, COUNTIF($AG$2:AG39, $P$21:$P$900), 0))</f>
        <v>#N/A</v>
      </c>
    </row>
    <row r="41" spans="1:35">
      <c r="A41">
        <f>'PSP Data'!A44</f>
        <v>0</v>
      </c>
      <c r="B41" t="str">
        <f>IF('PSP Data'!B44=0,"",'PSP Data'!B44)</f>
        <v/>
      </c>
      <c r="C41">
        <f>'PSP Data'!C44</f>
        <v>0</v>
      </c>
      <c r="D41">
        <f>'PSP Data'!D44</f>
        <v>0</v>
      </c>
      <c r="E41">
        <f>'PSP Data'!E44</f>
        <v>0</v>
      </c>
      <c r="F41">
        <f>'PSP Data'!F44</f>
        <v>0</v>
      </c>
      <c r="G41">
        <f>'PSP Data'!G44</f>
        <v>0</v>
      </c>
      <c r="H41">
        <f>'PSP Data'!H44</f>
        <v>0</v>
      </c>
      <c r="I41">
        <f>'PSP Data'!I44</f>
        <v>0</v>
      </c>
      <c r="J41" s="29" t="e">
        <f t="shared" si="0"/>
        <v>#N/A</v>
      </c>
      <c r="K41" s="29" t="e">
        <f>IF(AND((A41&lt;'PSP Data'!$C$11),(A41&lt;&gt;0)),Analysis!C41,#N/A)</f>
        <v>#N/A</v>
      </c>
      <c r="L41" t="e">
        <f>IF(VLOOKUP(B41,Table1[],4)=0,"unknown", VLOOKUP(B41,Table1[],4))</f>
        <v>#N/A</v>
      </c>
      <c r="M41">
        <v>1</v>
      </c>
      <c r="N41" t="e">
        <f t="shared" si="1"/>
        <v>#N/A</v>
      </c>
      <c r="O41" t="str">
        <f t="shared" si="2"/>
        <v/>
      </c>
      <c r="P41" t="str">
        <f t="shared" si="3"/>
        <v/>
      </c>
      <c r="Q41" t="str">
        <f t="shared" si="4"/>
        <v/>
      </c>
      <c r="R41">
        <v>1</v>
      </c>
      <c r="Y41" t="e">
        <f t="array" ref="Y41">INDEX($N$21:$N$900, MATCH(0, COUNTIF($Y$2:Y40, $N$21:$N$900), 0))</f>
        <v>#N/A</v>
      </c>
      <c r="AC41" t="e">
        <f t="array" ref="AC41">INDEX($O$21:$O$900, MATCH(0, COUNTIF($AC$2:AC40, $O$21:$O$900), 0))</f>
        <v>#N/A</v>
      </c>
      <c r="AG41" t="e">
        <f t="array" ref="AG41">INDEX($P$21:$P$900, MATCH(0, COUNTIF($AG$2:AG40, $P$21:$P$900), 0))</f>
        <v>#N/A</v>
      </c>
    </row>
    <row r="42" spans="1:35">
      <c r="A42">
        <f>'PSP Data'!A45</f>
        <v>0</v>
      </c>
      <c r="B42" t="str">
        <f>IF('PSP Data'!B45=0,"",'PSP Data'!B45)</f>
        <v/>
      </c>
      <c r="C42">
        <f>'PSP Data'!C45</f>
        <v>0</v>
      </c>
      <c r="D42">
        <f>'PSP Data'!D45</f>
        <v>0</v>
      </c>
      <c r="E42">
        <f>'PSP Data'!E45</f>
        <v>0</v>
      </c>
      <c r="F42">
        <f>'PSP Data'!F45</f>
        <v>0</v>
      </c>
      <c r="G42">
        <f>'PSP Data'!G45</f>
        <v>0</v>
      </c>
      <c r="H42">
        <f>'PSP Data'!H45</f>
        <v>0</v>
      </c>
      <c r="I42">
        <f>'PSP Data'!I45</f>
        <v>0</v>
      </c>
      <c r="J42" s="29" t="e">
        <f t="shared" si="0"/>
        <v>#N/A</v>
      </c>
      <c r="K42" s="29" t="e">
        <f>IF(AND((A42&lt;'PSP Data'!$C$11),(A42&lt;&gt;0)),Analysis!C42,#N/A)</f>
        <v>#N/A</v>
      </c>
      <c r="L42" t="e">
        <f>IF(VLOOKUP(B42,Table1[],4)=0,"unknown", VLOOKUP(B42,Table1[],4))</f>
        <v>#N/A</v>
      </c>
      <c r="M42">
        <v>1</v>
      </c>
      <c r="N42" t="e">
        <f t="shared" si="1"/>
        <v>#N/A</v>
      </c>
      <c r="O42" t="str">
        <f t="shared" si="2"/>
        <v/>
      </c>
      <c r="P42" t="str">
        <f t="shared" si="3"/>
        <v/>
      </c>
      <c r="Q42" t="str">
        <f t="shared" si="4"/>
        <v/>
      </c>
      <c r="R42">
        <v>1</v>
      </c>
      <c r="Y42" t="e">
        <f t="array" ref="Y42">INDEX($N$21:$N$900, MATCH(0, COUNTIF($Y$2:Y41, $N$21:$N$900), 0))</f>
        <v>#N/A</v>
      </c>
      <c r="AC42" t="e">
        <f t="array" ref="AC42">INDEX($O$21:$O$900, MATCH(0, COUNTIF($AC$2:AC41, $O$21:$O$900), 0))</f>
        <v>#N/A</v>
      </c>
      <c r="AG42" t="e">
        <f t="array" ref="AG42">INDEX($P$21:$P$900, MATCH(0, COUNTIF($AG$2:AG41, $P$21:$P$900), 0))</f>
        <v>#N/A</v>
      </c>
    </row>
    <row r="43" spans="1:35">
      <c r="A43">
        <f>'PSP Data'!A46</f>
        <v>0</v>
      </c>
      <c r="B43" t="str">
        <f>IF('PSP Data'!B46=0,"",'PSP Data'!B46)</f>
        <v/>
      </c>
      <c r="C43">
        <f>'PSP Data'!C46</f>
        <v>0</v>
      </c>
      <c r="D43">
        <f>'PSP Data'!D46</f>
        <v>0</v>
      </c>
      <c r="E43">
        <f>'PSP Data'!E46</f>
        <v>0</v>
      </c>
      <c r="F43">
        <f>'PSP Data'!F46</f>
        <v>0</v>
      </c>
      <c r="G43">
        <f>'PSP Data'!G46</f>
        <v>0</v>
      </c>
      <c r="H43">
        <f>'PSP Data'!H46</f>
        <v>0</v>
      </c>
      <c r="I43">
        <f>'PSP Data'!I46</f>
        <v>0</v>
      </c>
      <c r="J43" s="29" t="e">
        <f t="shared" si="0"/>
        <v>#N/A</v>
      </c>
      <c r="K43" s="29" t="e">
        <f>IF(AND((A43&lt;'PSP Data'!$C$11),(A43&lt;&gt;0)),Analysis!C43,#N/A)</f>
        <v>#N/A</v>
      </c>
      <c r="L43" t="e">
        <f>IF(VLOOKUP(B43,Table1[],4)=0,"unknown", VLOOKUP(B43,Table1[],4))</f>
        <v>#N/A</v>
      </c>
      <c r="M43">
        <v>1</v>
      </c>
      <c r="N43" t="e">
        <f t="shared" si="1"/>
        <v>#N/A</v>
      </c>
      <c r="O43" t="str">
        <f t="shared" si="2"/>
        <v/>
      </c>
      <c r="P43" t="str">
        <f t="shared" si="3"/>
        <v/>
      </c>
      <c r="Q43" t="str">
        <f t="shared" si="4"/>
        <v/>
      </c>
      <c r="R43">
        <v>1</v>
      </c>
      <c r="Y43" t="e">
        <f t="array" ref="Y43">INDEX($N$21:$N$900, MATCH(0, COUNTIF($Y$2:Y42, $N$21:$N$900), 0))</f>
        <v>#N/A</v>
      </c>
      <c r="AC43" t="e">
        <f t="array" ref="AC43">INDEX($O$21:$O$900, MATCH(0, COUNTIF($AC$2:AC42, $O$21:$O$900), 0))</f>
        <v>#N/A</v>
      </c>
      <c r="AG43" t="e">
        <f t="array" ref="AG43">INDEX($P$21:$P$900, MATCH(0, COUNTIF($AG$2:AG42, $P$21:$P$900), 0))</f>
        <v>#N/A</v>
      </c>
    </row>
    <row r="44" spans="1:35">
      <c r="A44">
        <f>'PSP Data'!A47</f>
        <v>0</v>
      </c>
      <c r="B44" t="str">
        <f>IF('PSP Data'!B47=0,"",'PSP Data'!B47)</f>
        <v/>
      </c>
      <c r="C44">
        <f>'PSP Data'!C47</f>
        <v>0</v>
      </c>
      <c r="D44">
        <f>'PSP Data'!D47</f>
        <v>0</v>
      </c>
      <c r="E44">
        <f>'PSP Data'!E47</f>
        <v>0</v>
      </c>
      <c r="F44">
        <f>'PSP Data'!F47</f>
        <v>0</v>
      </c>
      <c r="G44">
        <f>'PSP Data'!G47</f>
        <v>0</v>
      </c>
      <c r="H44">
        <f>'PSP Data'!H47</f>
        <v>0</v>
      </c>
      <c r="I44">
        <f>'PSP Data'!I47</f>
        <v>0</v>
      </c>
      <c r="J44" s="29" t="e">
        <f t="shared" si="0"/>
        <v>#N/A</v>
      </c>
      <c r="K44" s="29" t="e">
        <f>IF(AND((A44&lt;'PSP Data'!$C$11),(A44&lt;&gt;0)),Analysis!C44,#N/A)</f>
        <v>#N/A</v>
      </c>
      <c r="L44" t="e">
        <f>IF(VLOOKUP(B44,Table1[],4)=0,"unknown", VLOOKUP(B44,Table1[],4))</f>
        <v>#N/A</v>
      </c>
      <c r="M44">
        <v>1</v>
      </c>
      <c r="N44" t="e">
        <f t="shared" si="1"/>
        <v>#N/A</v>
      </c>
      <c r="O44" t="str">
        <f t="shared" si="2"/>
        <v/>
      </c>
      <c r="P44" t="str">
        <f t="shared" si="3"/>
        <v/>
      </c>
      <c r="Q44" t="str">
        <f t="shared" si="4"/>
        <v/>
      </c>
      <c r="R44">
        <v>1</v>
      </c>
      <c r="Y44" t="e">
        <f t="array" ref="Y44">INDEX($N$21:$N$900, MATCH(0, COUNTIF($Y$2:Y43, $N$21:$N$900), 0))</f>
        <v>#N/A</v>
      </c>
      <c r="AC44" t="e">
        <f t="array" ref="AC44">INDEX($O$21:$O$900, MATCH(0, COUNTIF($AC$2:AC43, $O$21:$O$900), 0))</f>
        <v>#N/A</v>
      </c>
      <c r="AG44" t="e">
        <f t="array" ref="AG44">INDEX($P$21:$P$900, MATCH(0, COUNTIF($AG$2:AG43, $P$21:$P$900), 0))</f>
        <v>#N/A</v>
      </c>
    </row>
    <row r="45" spans="1:35">
      <c r="A45">
        <f>'PSP Data'!A48</f>
        <v>0</v>
      </c>
      <c r="B45" t="str">
        <f>IF('PSP Data'!B48=0,"",'PSP Data'!B48)</f>
        <v/>
      </c>
      <c r="C45">
        <f>'PSP Data'!C48</f>
        <v>0</v>
      </c>
      <c r="D45">
        <f>'PSP Data'!D48</f>
        <v>0</v>
      </c>
      <c r="E45">
        <f>'PSP Data'!E48</f>
        <v>0</v>
      </c>
      <c r="F45">
        <f>'PSP Data'!F48</f>
        <v>0</v>
      </c>
      <c r="G45">
        <f>'PSP Data'!G48</f>
        <v>0</v>
      </c>
      <c r="H45">
        <f>'PSP Data'!H48</f>
        <v>0</v>
      </c>
      <c r="I45">
        <f>'PSP Data'!I48</f>
        <v>0</v>
      </c>
      <c r="J45" s="29" t="e">
        <f t="shared" si="0"/>
        <v>#N/A</v>
      </c>
      <c r="K45" s="29" t="e">
        <f>IF(AND((A45&lt;'PSP Data'!$C$11),(A45&lt;&gt;0)),Analysis!C45,#N/A)</f>
        <v>#N/A</v>
      </c>
      <c r="L45" t="e">
        <f>IF(VLOOKUP(B45,Table1[],4)=0,"unknown", VLOOKUP(B45,Table1[],4))</f>
        <v>#N/A</v>
      </c>
      <c r="M45">
        <v>1</v>
      </c>
      <c r="N45" t="e">
        <f t="shared" si="1"/>
        <v>#N/A</v>
      </c>
      <c r="O45" t="str">
        <f t="shared" si="2"/>
        <v/>
      </c>
      <c r="P45" t="str">
        <f t="shared" si="3"/>
        <v/>
      </c>
      <c r="Q45" t="str">
        <f t="shared" si="4"/>
        <v/>
      </c>
      <c r="R45">
        <v>1</v>
      </c>
      <c r="Y45" s="17"/>
      <c r="Z45" s="17"/>
      <c r="AA45" s="17"/>
      <c r="AB45" s="17"/>
      <c r="AC45" s="17"/>
      <c r="AD45" s="17"/>
      <c r="AE45" s="17"/>
      <c r="AF45" s="17"/>
      <c r="AG45" s="17"/>
      <c r="AH45" s="17"/>
      <c r="AI45" s="17"/>
    </row>
    <row r="46" spans="1:35">
      <c r="A46">
        <f>'PSP Data'!A49</f>
        <v>0</v>
      </c>
      <c r="B46" t="str">
        <f>IF('PSP Data'!B49=0,"",'PSP Data'!B49)</f>
        <v/>
      </c>
      <c r="C46">
        <f>'PSP Data'!C49</f>
        <v>0</v>
      </c>
      <c r="D46">
        <f>'PSP Data'!D49</f>
        <v>0</v>
      </c>
      <c r="E46">
        <f>'PSP Data'!E49</f>
        <v>0</v>
      </c>
      <c r="F46">
        <f>'PSP Data'!F49</f>
        <v>0</v>
      </c>
      <c r="G46">
        <f>'PSP Data'!G49</f>
        <v>0</v>
      </c>
      <c r="H46">
        <f>'PSP Data'!H49</f>
        <v>0</v>
      </c>
      <c r="I46">
        <f>'PSP Data'!I49</f>
        <v>0</v>
      </c>
      <c r="J46" s="29" t="e">
        <f t="shared" si="0"/>
        <v>#N/A</v>
      </c>
      <c r="K46" s="29" t="e">
        <f>IF(AND((A46&lt;'PSP Data'!$C$11),(A46&lt;&gt;0)),Analysis!C46,#N/A)</f>
        <v>#N/A</v>
      </c>
      <c r="L46" t="e">
        <f>IF(VLOOKUP(B46,Table1[],4)=0,"unknown", VLOOKUP(B46,Table1[],4))</f>
        <v>#N/A</v>
      </c>
      <c r="M46">
        <v>1</v>
      </c>
      <c r="N46" t="e">
        <f t="shared" si="1"/>
        <v>#N/A</v>
      </c>
      <c r="O46" t="str">
        <f t="shared" si="2"/>
        <v/>
      </c>
      <c r="P46" t="str">
        <f t="shared" si="3"/>
        <v/>
      </c>
      <c r="Q46" t="str">
        <f t="shared" si="4"/>
        <v/>
      </c>
      <c r="R46">
        <v>1</v>
      </c>
    </row>
    <row r="47" spans="1:35">
      <c r="A47">
        <f>'PSP Data'!A50</f>
        <v>0</v>
      </c>
      <c r="B47" t="str">
        <f>IF('PSP Data'!B50=0,"",'PSP Data'!B50)</f>
        <v/>
      </c>
      <c r="C47">
        <f>'PSP Data'!C50</f>
        <v>0</v>
      </c>
      <c r="D47">
        <f>'PSP Data'!D50</f>
        <v>0</v>
      </c>
      <c r="E47">
        <f>'PSP Data'!E50</f>
        <v>0</v>
      </c>
      <c r="F47">
        <f>'PSP Data'!F50</f>
        <v>0</v>
      </c>
      <c r="G47">
        <f>'PSP Data'!G50</f>
        <v>0</v>
      </c>
      <c r="H47">
        <f>'PSP Data'!H50</f>
        <v>0</v>
      </c>
      <c r="I47">
        <f>'PSP Data'!I50</f>
        <v>0</v>
      </c>
      <c r="J47" s="29" t="e">
        <f t="shared" si="0"/>
        <v>#N/A</v>
      </c>
      <c r="K47" s="29" t="e">
        <f>IF(AND((A47&lt;'PSP Data'!$C$11),(A47&lt;&gt;0)),Analysis!C47,#N/A)</f>
        <v>#N/A</v>
      </c>
      <c r="L47" t="e">
        <f>IF(VLOOKUP(B47,Table1[],4)=0,"unknown", VLOOKUP(B47,Table1[],4))</f>
        <v>#N/A</v>
      </c>
      <c r="M47">
        <v>1</v>
      </c>
      <c r="N47" t="e">
        <f t="shared" si="1"/>
        <v>#N/A</v>
      </c>
      <c r="O47" t="str">
        <f t="shared" si="2"/>
        <v/>
      </c>
      <c r="P47" t="str">
        <f t="shared" si="3"/>
        <v/>
      </c>
      <c r="Q47" t="str">
        <f t="shared" si="4"/>
        <v/>
      </c>
      <c r="R47">
        <v>1</v>
      </c>
    </row>
    <row r="48" spans="1:35">
      <c r="A48">
        <f>'PSP Data'!A51</f>
        <v>0</v>
      </c>
      <c r="B48" t="str">
        <f>IF('PSP Data'!B51=0,"",'PSP Data'!B51)</f>
        <v/>
      </c>
      <c r="C48">
        <f>'PSP Data'!C51</f>
        <v>0</v>
      </c>
      <c r="D48">
        <f>'PSP Data'!D51</f>
        <v>0</v>
      </c>
      <c r="E48">
        <f>'PSP Data'!E51</f>
        <v>0</v>
      </c>
      <c r="F48">
        <f>'PSP Data'!F51</f>
        <v>0</v>
      </c>
      <c r="G48">
        <f>'PSP Data'!G51</f>
        <v>0</v>
      </c>
      <c r="H48">
        <f>'PSP Data'!H51</f>
        <v>0</v>
      </c>
      <c r="I48">
        <f>'PSP Data'!I51</f>
        <v>0</v>
      </c>
      <c r="J48" s="29" t="e">
        <f t="shared" si="0"/>
        <v>#N/A</v>
      </c>
      <c r="K48" s="29" t="e">
        <f>IF(AND((A48&lt;'PSP Data'!$C$11),(A48&lt;&gt;0)),Analysis!C48,#N/A)</f>
        <v>#N/A</v>
      </c>
      <c r="L48" t="e">
        <f>IF(VLOOKUP(B48,Table1[],4)=0,"unknown", VLOOKUP(B48,Table1[],4))</f>
        <v>#N/A</v>
      </c>
      <c r="M48">
        <v>1</v>
      </c>
      <c r="N48" t="e">
        <f t="shared" si="1"/>
        <v>#N/A</v>
      </c>
      <c r="O48" t="str">
        <f t="shared" si="2"/>
        <v/>
      </c>
      <c r="P48" t="str">
        <f t="shared" si="3"/>
        <v/>
      </c>
      <c r="Q48" t="str">
        <f t="shared" si="4"/>
        <v/>
      </c>
      <c r="R48">
        <v>1</v>
      </c>
    </row>
    <row r="49" spans="1:18">
      <c r="A49">
        <f>'PSP Data'!A52</f>
        <v>0</v>
      </c>
      <c r="B49" t="str">
        <f>IF('PSP Data'!B52=0,"",'PSP Data'!B52)</f>
        <v/>
      </c>
      <c r="C49">
        <f>'PSP Data'!C52</f>
        <v>0</v>
      </c>
      <c r="D49">
        <f>'PSP Data'!D52</f>
        <v>0</v>
      </c>
      <c r="E49">
        <f>'PSP Data'!E52</f>
        <v>0</v>
      </c>
      <c r="F49">
        <f>'PSP Data'!F52</f>
        <v>0</v>
      </c>
      <c r="G49">
        <f>'PSP Data'!G52</f>
        <v>0</v>
      </c>
      <c r="H49">
        <f>'PSP Data'!H52</f>
        <v>0</v>
      </c>
      <c r="I49">
        <f>'PSP Data'!I52</f>
        <v>0</v>
      </c>
      <c r="J49" s="29" t="e">
        <f t="shared" si="0"/>
        <v>#N/A</v>
      </c>
      <c r="K49" s="29" t="e">
        <f>IF(AND((A49&lt;'PSP Data'!$C$11),(A49&lt;&gt;0)),Analysis!C49,#N/A)</f>
        <v>#N/A</v>
      </c>
      <c r="L49" t="e">
        <f>IF(VLOOKUP(B49,Table1[],4)=0,"unknown", VLOOKUP(B49,Table1[],4))</f>
        <v>#N/A</v>
      </c>
      <c r="M49">
        <v>1</v>
      </c>
      <c r="N49" t="e">
        <f t="shared" si="1"/>
        <v>#N/A</v>
      </c>
      <c r="O49" t="str">
        <f t="shared" si="2"/>
        <v/>
      </c>
      <c r="P49" t="str">
        <f t="shared" si="3"/>
        <v/>
      </c>
      <c r="Q49" t="str">
        <f t="shared" si="4"/>
        <v/>
      </c>
      <c r="R49">
        <v>1</v>
      </c>
    </row>
    <row r="50" spans="1:18">
      <c r="A50">
        <f>'PSP Data'!A53</f>
        <v>0</v>
      </c>
      <c r="B50" t="str">
        <f>IF('PSP Data'!B53=0,"",'PSP Data'!B53)</f>
        <v/>
      </c>
      <c r="C50">
        <f>'PSP Data'!C53</f>
        <v>0</v>
      </c>
      <c r="D50">
        <f>'PSP Data'!D53</f>
        <v>0</v>
      </c>
      <c r="E50">
        <f>'PSP Data'!E53</f>
        <v>0</v>
      </c>
      <c r="F50">
        <f>'PSP Data'!F53</f>
        <v>0</v>
      </c>
      <c r="G50">
        <f>'PSP Data'!G53</f>
        <v>0</v>
      </c>
      <c r="H50">
        <f>'PSP Data'!H53</f>
        <v>0</v>
      </c>
      <c r="I50">
        <f>'PSP Data'!I53</f>
        <v>0</v>
      </c>
      <c r="J50" s="29" t="e">
        <f t="shared" si="0"/>
        <v>#N/A</v>
      </c>
      <c r="K50" s="29" t="e">
        <f>IF(AND((A50&lt;'PSP Data'!$C$11),(A50&lt;&gt;0)),Analysis!C50,#N/A)</f>
        <v>#N/A</v>
      </c>
      <c r="L50" t="e">
        <f>IF(VLOOKUP(B50,Table1[],4)=0,"unknown", VLOOKUP(B50,Table1[],4))</f>
        <v>#N/A</v>
      </c>
      <c r="M50">
        <v>1</v>
      </c>
      <c r="N50" t="e">
        <f t="shared" si="1"/>
        <v>#N/A</v>
      </c>
      <c r="O50" t="str">
        <f t="shared" si="2"/>
        <v/>
      </c>
      <c r="P50" t="str">
        <f t="shared" si="3"/>
        <v/>
      </c>
      <c r="Q50" t="str">
        <f t="shared" si="4"/>
        <v/>
      </c>
      <c r="R50">
        <v>1</v>
      </c>
    </row>
    <row r="51" spans="1:18">
      <c r="A51">
        <f>'PSP Data'!A54</f>
        <v>0</v>
      </c>
      <c r="B51" t="str">
        <f>IF('PSP Data'!B54=0,"",'PSP Data'!B54)</f>
        <v/>
      </c>
      <c r="C51">
        <f>'PSP Data'!C54</f>
        <v>0</v>
      </c>
      <c r="D51">
        <f>'PSP Data'!D54</f>
        <v>0</v>
      </c>
      <c r="E51">
        <f>'PSP Data'!E54</f>
        <v>0</v>
      </c>
      <c r="F51">
        <f>'PSP Data'!F54</f>
        <v>0</v>
      </c>
      <c r="G51">
        <f>'PSP Data'!G54</f>
        <v>0</v>
      </c>
      <c r="H51">
        <f>'PSP Data'!H54</f>
        <v>0</v>
      </c>
      <c r="I51">
        <f>'PSP Data'!I54</f>
        <v>0</v>
      </c>
      <c r="J51" s="29" t="e">
        <f t="shared" si="0"/>
        <v>#N/A</v>
      </c>
      <c r="K51" s="29" t="e">
        <f>IF(AND((A51&lt;'PSP Data'!$C$11),(A51&lt;&gt;0)),Analysis!C51,#N/A)</f>
        <v>#N/A</v>
      </c>
      <c r="L51" t="e">
        <f>IF(VLOOKUP(B51,Table1[],4)=0,"unknown", VLOOKUP(B51,Table1[],4))</f>
        <v>#N/A</v>
      </c>
      <c r="M51">
        <v>1</v>
      </c>
      <c r="N51" t="e">
        <f t="shared" si="1"/>
        <v>#N/A</v>
      </c>
      <c r="O51" t="str">
        <f t="shared" si="2"/>
        <v/>
      </c>
      <c r="P51" t="str">
        <f t="shared" si="3"/>
        <v/>
      </c>
      <c r="Q51" t="str">
        <f t="shared" si="4"/>
        <v/>
      </c>
      <c r="R51">
        <v>1</v>
      </c>
    </row>
    <row r="52" spans="1:18">
      <c r="A52">
        <f>'PSP Data'!A55</f>
        <v>0</v>
      </c>
      <c r="B52" t="str">
        <f>IF('PSP Data'!B55=0,"",'PSP Data'!B55)</f>
        <v/>
      </c>
      <c r="C52">
        <f>'PSP Data'!C55</f>
        <v>0</v>
      </c>
      <c r="D52">
        <f>'PSP Data'!D55</f>
        <v>0</v>
      </c>
      <c r="E52">
        <f>'PSP Data'!E55</f>
        <v>0</v>
      </c>
      <c r="F52">
        <f>'PSP Data'!F55</f>
        <v>0</v>
      </c>
      <c r="G52">
        <f>'PSP Data'!G55</f>
        <v>0</v>
      </c>
      <c r="H52">
        <f>'PSP Data'!H55</f>
        <v>0</v>
      </c>
      <c r="I52">
        <f>'PSP Data'!I55</f>
        <v>0</v>
      </c>
      <c r="J52" s="29" t="e">
        <f t="shared" si="0"/>
        <v>#N/A</v>
      </c>
      <c r="K52" s="29" t="e">
        <f>IF(AND((A52&lt;'PSP Data'!$C$11),(A52&lt;&gt;0)),Analysis!C52,#N/A)</f>
        <v>#N/A</v>
      </c>
      <c r="L52" t="e">
        <f>IF(VLOOKUP(B52,Table1[],4)=0,"unknown", VLOOKUP(B52,Table1[],4))</f>
        <v>#N/A</v>
      </c>
      <c r="M52">
        <v>1</v>
      </c>
      <c r="N52" t="e">
        <f t="shared" si="1"/>
        <v>#N/A</v>
      </c>
      <c r="O52" t="str">
        <f t="shared" si="2"/>
        <v/>
      </c>
      <c r="P52" t="str">
        <f t="shared" si="3"/>
        <v/>
      </c>
      <c r="Q52" t="str">
        <f t="shared" si="4"/>
        <v/>
      </c>
      <c r="R52">
        <v>1</v>
      </c>
    </row>
    <row r="53" spans="1:18">
      <c r="A53">
        <f>'PSP Data'!A56</f>
        <v>0</v>
      </c>
      <c r="B53" t="str">
        <f>IF('PSP Data'!B56=0,"",'PSP Data'!B56)</f>
        <v/>
      </c>
      <c r="C53">
        <f>'PSP Data'!C56</f>
        <v>0</v>
      </c>
      <c r="D53">
        <f>'PSP Data'!D56</f>
        <v>0</v>
      </c>
      <c r="E53">
        <f>'PSP Data'!E56</f>
        <v>0</v>
      </c>
      <c r="F53">
        <f>'PSP Data'!F56</f>
        <v>0</v>
      </c>
      <c r="G53">
        <f>'PSP Data'!G56</f>
        <v>0</v>
      </c>
      <c r="H53">
        <f>'PSP Data'!H56</f>
        <v>0</v>
      </c>
      <c r="I53">
        <f>'PSP Data'!I56</f>
        <v>0</v>
      </c>
      <c r="J53" s="29" t="e">
        <f t="shared" si="0"/>
        <v>#N/A</v>
      </c>
      <c r="K53" s="29" t="e">
        <f>IF(AND((A53&lt;'PSP Data'!$C$11),(A53&lt;&gt;0)),Analysis!C53,#N/A)</f>
        <v>#N/A</v>
      </c>
      <c r="L53" t="e">
        <f>IF(VLOOKUP(B53,Table1[],4)=0,"unknown", VLOOKUP(B53,Table1[],4))</f>
        <v>#N/A</v>
      </c>
      <c r="M53">
        <v>1</v>
      </c>
      <c r="N53" t="e">
        <f t="shared" si="1"/>
        <v>#N/A</v>
      </c>
      <c r="O53" t="str">
        <f t="shared" si="2"/>
        <v/>
      </c>
      <c r="P53" t="str">
        <f t="shared" si="3"/>
        <v/>
      </c>
      <c r="Q53" t="str">
        <f t="shared" si="4"/>
        <v/>
      </c>
      <c r="R53">
        <v>1</v>
      </c>
    </row>
    <row r="54" spans="1:18">
      <c r="A54">
        <f>'PSP Data'!A57</f>
        <v>0</v>
      </c>
      <c r="B54" t="str">
        <f>IF('PSP Data'!B57=0,"",'PSP Data'!B57)</f>
        <v/>
      </c>
      <c r="C54">
        <f>'PSP Data'!C57</f>
        <v>0</v>
      </c>
      <c r="D54">
        <f>'PSP Data'!D57</f>
        <v>0</v>
      </c>
      <c r="E54">
        <f>'PSP Data'!E57</f>
        <v>0</v>
      </c>
      <c r="F54">
        <f>'PSP Data'!F57</f>
        <v>0</v>
      </c>
      <c r="G54">
        <f>'PSP Data'!G57</f>
        <v>0</v>
      </c>
      <c r="H54">
        <f>'PSP Data'!H57</f>
        <v>0</v>
      </c>
      <c r="I54">
        <f>'PSP Data'!I57</f>
        <v>0</v>
      </c>
      <c r="J54" s="29" t="e">
        <f t="shared" si="0"/>
        <v>#N/A</v>
      </c>
      <c r="K54" s="29" t="e">
        <f>IF(AND((A54&lt;'PSP Data'!$C$11),(A54&lt;&gt;0)),Analysis!C54,#N/A)</f>
        <v>#N/A</v>
      </c>
      <c r="L54" t="e">
        <f>IF(VLOOKUP(B54,Table1[],4)=0,"unknown", VLOOKUP(B54,Table1[],4))</f>
        <v>#N/A</v>
      </c>
      <c r="M54">
        <v>1</v>
      </c>
      <c r="N54" t="e">
        <f t="shared" si="1"/>
        <v>#N/A</v>
      </c>
      <c r="O54" t="str">
        <f t="shared" si="2"/>
        <v/>
      </c>
      <c r="P54" t="str">
        <f t="shared" si="3"/>
        <v/>
      </c>
      <c r="Q54" t="str">
        <f t="shared" si="4"/>
        <v/>
      </c>
      <c r="R54">
        <v>1</v>
      </c>
    </row>
    <row r="55" spans="1:18">
      <c r="A55">
        <f>'PSP Data'!A58</f>
        <v>0</v>
      </c>
      <c r="B55" t="str">
        <f>IF('PSP Data'!B58=0,"",'PSP Data'!B58)</f>
        <v/>
      </c>
      <c r="C55">
        <f>'PSP Data'!C58</f>
        <v>0</v>
      </c>
      <c r="D55">
        <f>'PSP Data'!D58</f>
        <v>0</v>
      </c>
      <c r="E55">
        <f>'PSP Data'!E58</f>
        <v>0</v>
      </c>
      <c r="F55">
        <f>'PSP Data'!F58</f>
        <v>0</v>
      </c>
      <c r="G55">
        <f>'PSP Data'!G58</f>
        <v>0</v>
      </c>
      <c r="H55">
        <f>'PSP Data'!H58</f>
        <v>0</v>
      </c>
      <c r="I55">
        <f>'PSP Data'!I58</f>
        <v>0</v>
      </c>
      <c r="J55" s="29" t="e">
        <f t="shared" si="0"/>
        <v>#N/A</v>
      </c>
      <c r="K55" s="29" t="e">
        <f>IF(AND((A55&lt;'PSP Data'!$C$11),(A55&lt;&gt;0)),Analysis!C55,#N/A)</f>
        <v>#N/A</v>
      </c>
      <c r="L55" t="e">
        <f>IF(VLOOKUP(B55,Table1[],4)=0,"unknown", VLOOKUP(B55,Table1[],4))</f>
        <v>#N/A</v>
      </c>
      <c r="M55">
        <v>1</v>
      </c>
      <c r="N55" t="e">
        <f t="shared" si="1"/>
        <v>#N/A</v>
      </c>
      <c r="O55" t="str">
        <f t="shared" si="2"/>
        <v/>
      </c>
      <c r="P55" t="str">
        <f t="shared" si="3"/>
        <v/>
      </c>
      <c r="Q55" t="str">
        <f t="shared" si="4"/>
        <v/>
      </c>
      <c r="R55">
        <v>1</v>
      </c>
    </row>
    <row r="56" spans="1:18">
      <c r="A56">
        <f>'PSP Data'!A59</f>
        <v>0</v>
      </c>
      <c r="B56" t="str">
        <f>IF('PSP Data'!B59=0,"",'PSP Data'!B59)</f>
        <v/>
      </c>
      <c r="C56">
        <f>'PSP Data'!C59</f>
        <v>0</v>
      </c>
      <c r="D56">
        <f>'PSP Data'!D59</f>
        <v>0</v>
      </c>
      <c r="E56">
        <f>'PSP Data'!E59</f>
        <v>0</v>
      </c>
      <c r="F56">
        <f>'PSP Data'!F59</f>
        <v>0</v>
      </c>
      <c r="G56">
        <f>'PSP Data'!G59</f>
        <v>0</v>
      </c>
      <c r="H56">
        <f>'PSP Data'!H59</f>
        <v>0</v>
      </c>
      <c r="I56">
        <f>'PSP Data'!I59</f>
        <v>0</v>
      </c>
      <c r="J56" s="29" t="e">
        <f t="shared" si="0"/>
        <v>#N/A</v>
      </c>
      <c r="K56" s="29" t="e">
        <f>IF(AND((A56&lt;'PSP Data'!$C$11),(A56&lt;&gt;0)),Analysis!C56,#N/A)</f>
        <v>#N/A</v>
      </c>
      <c r="L56" t="e">
        <f>IF(VLOOKUP(B56,Table1[],4)=0,"unknown", VLOOKUP(B56,Table1[],4))</f>
        <v>#N/A</v>
      </c>
      <c r="M56">
        <v>1</v>
      </c>
      <c r="N56" t="e">
        <f t="shared" si="1"/>
        <v>#N/A</v>
      </c>
      <c r="O56" t="str">
        <f t="shared" si="2"/>
        <v/>
      </c>
      <c r="P56" t="str">
        <f t="shared" si="3"/>
        <v/>
      </c>
      <c r="Q56" t="str">
        <f t="shared" si="4"/>
        <v/>
      </c>
      <c r="R56">
        <v>1</v>
      </c>
    </row>
    <row r="57" spans="1:18">
      <c r="A57">
        <f>'PSP Data'!A60</f>
        <v>0</v>
      </c>
      <c r="B57" t="str">
        <f>IF('PSP Data'!B60=0,"",'PSP Data'!B60)</f>
        <v/>
      </c>
      <c r="C57">
        <f>'PSP Data'!C60</f>
        <v>0</v>
      </c>
      <c r="D57">
        <f>'PSP Data'!D60</f>
        <v>0</v>
      </c>
      <c r="E57">
        <f>'PSP Data'!E60</f>
        <v>0</v>
      </c>
      <c r="F57">
        <f>'PSP Data'!F60</f>
        <v>0</v>
      </c>
      <c r="G57">
        <f>'PSP Data'!G60</f>
        <v>0</v>
      </c>
      <c r="H57">
        <f>'PSP Data'!H60</f>
        <v>0</v>
      </c>
      <c r="I57">
        <f>'PSP Data'!I60</f>
        <v>0</v>
      </c>
      <c r="J57" s="29" t="e">
        <f t="shared" si="0"/>
        <v>#N/A</v>
      </c>
      <c r="K57" s="29" t="e">
        <f>IF(AND((A57&lt;'PSP Data'!$C$11),(A57&lt;&gt;0)),Analysis!C57,#N/A)</f>
        <v>#N/A</v>
      </c>
      <c r="L57" t="e">
        <f>IF(VLOOKUP(B57,Table1[],4)=0,"unknown", VLOOKUP(B57,Table1[],4))</f>
        <v>#N/A</v>
      </c>
      <c r="M57">
        <v>1</v>
      </c>
      <c r="N57" t="e">
        <f t="shared" si="1"/>
        <v>#N/A</v>
      </c>
      <c r="O57" t="str">
        <f t="shared" si="2"/>
        <v/>
      </c>
      <c r="P57" t="str">
        <f t="shared" si="3"/>
        <v/>
      </c>
      <c r="Q57" t="str">
        <f t="shared" si="4"/>
        <v/>
      </c>
      <c r="R57">
        <v>1</v>
      </c>
    </row>
    <row r="58" spans="1:18">
      <c r="A58">
        <f>'PSP Data'!A61</f>
        <v>0</v>
      </c>
      <c r="B58" t="str">
        <f>IF('PSP Data'!B61=0,"",'PSP Data'!B61)</f>
        <v/>
      </c>
      <c r="C58">
        <f>'PSP Data'!C61</f>
        <v>0</v>
      </c>
      <c r="D58">
        <f>'PSP Data'!D61</f>
        <v>0</v>
      </c>
      <c r="E58">
        <f>'PSP Data'!E61</f>
        <v>0</v>
      </c>
      <c r="F58">
        <f>'PSP Data'!F61</f>
        <v>0</v>
      </c>
      <c r="G58">
        <f>'PSP Data'!G61</f>
        <v>0</v>
      </c>
      <c r="H58">
        <f>'PSP Data'!H61</f>
        <v>0</v>
      </c>
      <c r="I58">
        <f>'PSP Data'!I61</f>
        <v>0</v>
      </c>
      <c r="J58" s="29" t="e">
        <f t="shared" si="0"/>
        <v>#N/A</v>
      </c>
      <c r="K58" s="29" t="e">
        <f>IF(AND((A58&lt;'PSP Data'!$C$11),(A58&lt;&gt;0)),Analysis!C58,#N/A)</f>
        <v>#N/A</v>
      </c>
      <c r="L58" t="e">
        <f>IF(VLOOKUP(B58,Table1[],4)=0,"unknown", VLOOKUP(B58,Table1[],4))</f>
        <v>#N/A</v>
      </c>
      <c r="M58">
        <v>1</v>
      </c>
      <c r="N58" t="e">
        <f t="shared" si="1"/>
        <v>#N/A</v>
      </c>
      <c r="O58" t="str">
        <f t="shared" si="2"/>
        <v/>
      </c>
      <c r="P58" t="str">
        <f t="shared" si="3"/>
        <v/>
      </c>
      <c r="Q58" t="str">
        <f t="shared" si="4"/>
        <v/>
      </c>
      <c r="R58">
        <v>1</v>
      </c>
    </row>
    <row r="59" spans="1:18">
      <c r="A59">
        <f>'PSP Data'!A62</f>
        <v>0</v>
      </c>
      <c r="B59" t="str">
        <f>IF('PSP Data'!B62=0,"",'PSP Data'!B62)</f>
        <v/>
      </c>
      <c r="C59">
        <f>'PSP Data'!C62</f>
        <v>0</v>
      </c>
      <c r="D59">
        <f>'PSP Data'!D62</f>
        <v>0</v>
      </c>
      <c r="E59">
        <f>'PSP Data'!E62</f>
        <v>0</v>
      </c>
      <c r="F59">
        <f>'PSP Data'!F62</f>
        <v>0</v>
      </c>
      <c r="G59">
        <f>'PSP Data'!G62</f>
        <v>0</v>
      </c>
      <c r="H59">
        <f>'PSP Data'!H62</f>
        <v>0</v>
      </c>
      <c r="I59">
        <f>'PSP Data'!I62</f>
        <v>0</v>
      </c>
      <c r="J59" s="29" t="e">
        <f t="shared" si="0"/>
        <v>#N/A</v>
      </c>
      <c r="K59" s="29" t="e">
        <f>IF(AND((A59&lt;'PSP Data'!$C$11),(A59&lt;&gt;0)),Analysis!C59,#N/A)</f>
        <v>#N/A</v>
      </c>
      <c r="L59" t="e">
        <f>IF(VLOOKUP(B59,Table1[],4)=0,"unknown", VLOOKUP(B59,Table1[],4))</f>
        <v>#N/A</v>
      </c>
      <c r="M59">
        <v>1</v>
      </c>
      <c r="N59" t="e">
        <f t="shared" si="1"/>
        <v>#N/A</v>
      </c>
      <c r="O59" t="str">
        <f t="shared" si="2"/>
        <v/>
      </c>
      <c r="P59" t="str">
        <f t="shared" si="3"/>
        <v/>
      </c>
      <c r="Q59" t="str">
        <f t="shared" si="4"/>
        <v/>
      </c>
      <c r="R59">
        <v>1</v>
      </c>
    </row>
    <row r="60" spans="1:18">
      <c r="A60">
        <f>'PSP Data'!A63</f>
        <v>0</v>
      </c>
      <c r="B60" t="str">
        <f>IF('PSP Data'!B63=0,"",'PSP Data'!B63)</f>
        <v/>
      </c>
      <c r="C60">
        <f>'PSP Data'!C63</f>
        <v>0</v>
      </c>
      <c r="D60">
        <f>'PSP Data'!D63</f>
        <v>0</v>
      </c>
      <c r="E60">
        <f>'PSP Data'!E63</f>
        <v>0</v>
      </c>
      <c r="F60">
        <f>'PSP Data'!F63</f>
        <v>0</v>
      </c>
      <c r="G60">
        <f>'PSP Data'!G63</f>
        <v>0</v>
      </c>
      <c r="H60">
        <f>'PSP Data'!H63</f>
        <v>0</v>
      </c>
      <c r="I60">
        <f>'PSP Data'!I63</f>
        <v>0</v>
      </c>
      <c r="J60" s="29" t="e">
        <f t="shared" si="0"/>
        <v>#N/A</v>
      </c>
      <c r="K60" s="29" t="e">
        <f>IF(AND((A60&lt;'PSP Data'!$C$11),(A60&lt;&gt;0)),Analysis!C60,#N/A)</f>
        <v>#N/A</v>
      </c>
      <c r="L60" t="e">
        <f>IF(VLOOKUP(B60,Table1[],4)=0,"unknown", VLOOKUP(B60,Table1[],4))</f>
        <v>#N/A</v>
      </c>
      <c r="M60">
        <v>1</v>
      </c>
      <c r="N60" t="e">
        <f t="shared" si="1"/>
        <v>#N/A</v>
      </c>
      <c r="O60" t="str">
        <f t="shared" si="2"/>
        <v/>
      </c>
      <c r="P60" t="str">
        <f t="shared" si="3"/>
        <v/>
      </c>
      <c r="Q60" t="str">
        <f t="shared" si="4"/>
        <v/>
      </c>
      <c r="R60">
        <v>1</v>
      </c>
    </row>
    <row r="61" spans="1:18">
      <c r="A61">
        <f>'PSP Data'!A64</f>
        <v>0</v>
      </c>
      <c r="B61" t="str">
        <f>IF('PSP Data'!B64=0,"",'PSP Data'!B64)</f>
        <v/>
      </c>
      <c r="C61">
        <f>'PSP Data'!C64</f>
        <v>0</v>
      </c>
      <c r="D61">
        <f>'PSP Data'!D64</f>
        <v>0</v>
      </c>
      <c r="E61">
        <f>'PSP Data'!E64</f>
        <v>0</v>
      </c>
      <c r="F61">
        <f>'PSP Data'!F64</f>
        <v>0</v>
      </c>
      <c r="G61">
        <f>'PSP Data'!G64</f>
        <v>0</v>
      </c>
      <c r="H61">
        <f>'PSP Data'!H64</f>
        <v>0</v>
      </c>
      <c r="I61">
        <f>'PSP Data'!I64</f>
        <v>0</v>
      </c>
      <c r="J61" s="29" t="e">
        <f t="shared" si="0"/>
        <v>#N/A</v>
      </c>
      <c r="K61" s="29" t="e">
        <f>IF(AND((A61&lt;'PSP Data'!$C$11),(A61&lt;&gt;0)),Analysis!C61,#N/A)</f>
        <v>#N/A</v>
      </c>
      <c r="L61" t="e">
        <f>IF(VLOOKUP(B61,Table1[],4)=0,"unknown", VLOOKUP(B61,Table1[],4))</f>
        <v>#N/A</v>
      </c>
      <c r="M61">
        <v>1</v>
      </c>
      <c r="N61" t="e">
        <f t="shared" si="1"/>
        <v>#N/A</v>
      </c>
      <c r="O61" t="str">
        <f t="shared" si="2"/>
        <v/>
      </c>
      <c r="P61" t="str">
        <f t="shared" si="3"/>
        <v/>
      </c>
      <c r="Q61" t="str">
        <f t="shared" si="4"/>
        <v/>
      </c>
      <c r="R61">
        <v>1</v>
      </c>
    </row>
    <row r="62" spans="1:18">
      <c r="A62">
        <f>'PSP Data'!A65</f>
        <v>0</v>
      </c>
      <c r="B62" t="str">
        <f>IF('PSP Data'!B65=0,"",'PSP Data'!B65)</f>
        <v/>
      </c>
      <c r="C62">
        <f>'PSP Data'!C65</f>
        <v>0</v>
      </c>
      <c r="D62">
        <f>'PSP Data'!D65</f>
        <v>0</v>
      </c>
      <c r="E62">
        <f>'PSP Data'!E65</f>
        <v>0</v>
      </c>
      <c r="F62">
        <f>'PSP Data'!F65</f>
        <v>0</v>
      </c>
      <c r="G62">
        <f>'PSP Data'!G65</f>
        <v>0</v>
      </c>
      <c r="H62">
        <f>'PSP Data'!H65</f>
        <v>0</v>
      </c>
      <c r="I62">
        <f>'PSP Data'!I65</f>
        <v>0</v>
      </c>
      <c r="J62" s="29" t="e">
        <f t="shared" si="0"/>
        <v>#N/A</v>
      </c>
      <c r="K62" s="29" t="e">
        <f>IF(AND((A62&lt;'PSP Data'!$C$11),(A62&lt;&gt;0)),Analysis!C62,#N/A)</f>
        <v>#N/A</v>
      </c>
      <c r="L62" t="e">
        <f>IF(VLOOKUP(B62,Table1[],4)=0,"unknown", VLOOKUP(B62,Table1[],4))</f>
        <v>#N/A</v>
      </c>
      <c r="M62">
        <v>1</v>
      </c>
      <c r="N62" t="e">
        <f t="shared" si="1"/>
        <v>#N/A</v>
      </c>
      <c r="O62" t="str">
        <f t="shared" si="2"/>
        <v/>
      </c>
      <c r="P62" t="str">
        <f t="shared" si="3"/>
        <v/>
      </c>
      <c r="Q62" t="str">
        <f t="shared" si="4"/>
        <v/>
      </c>
      <c r="R62">
        <v>1</v>
      </c>
    </row>
    <row r="63" spans="1:18">
      <c r="A63">
        <f>'PSP Data'!A66</f>
        <v>0</v>
      </c>
      <c r="B63" t="str">
        <f>IF('PSP Data'!B66=0,"",'PSP Data'!B66)</f>
        <v/>
      </c>
      <c r="C63">
        <f>'PSP Data'!C66</f>
        <v>0</v>
      </c>
      <c r="D63">
        <f>'PSP Data'!D66</f>
        <v>0</v>
      </c>
      <c r="E63">
        <f>'PSP Data'!E66</f>
        <v>0</v>
      </c>
      <c r="F63">
        <f>'PSP Data'!F66</f>
        <v>0</v>
      </c>
      <c r="G63">
        <f>'PSP Data'!G66</f>
        <v>0</v>
      </c>
      <c r="H63">
        <f>'PSP Data'!H66</f>
        <v>0</v>
      </c>
      <c r="I63">
        <f>'PSP Data'!I66</f>
        <v>0</v>
      </c>
      <c r="J63" s="29" t="e">
        <f t="shared" si="0"/>
        <v>#N/A</v>
      </c>
      <c r="K63" s="29" t="e">
        <f>IF(AND((A63&lt;'PSP Data'!$C$11),(A63&lt;&gt;0)),Analysis!C63,#N/A)</f>
        <v>#N/A</v>
      </c>
      <c r="L63" t="e">
        <f>IF(VLOOKUP(B63,Table1[],4)=0,"unknown", VLOOKUP(B63,Table1[],4))</f>
        <v>#N/A</v>
      </c>
      <c r="M63">
        <v>1</v>
      </c>
      <c r="N63" t="e">
        <f t="shared" si="1"/>
        <v>#N/A</v>
      </c>
      <c r="O63" t="str">
        <f t="shared" si="2"/>
        <v/>
      </c>
      <c r="P63" t="str">
        <f t="shared" si="3"/>
        <v/>
      </c>
      <c r="Q63" t="str">
        <f t="shared" si="4"/>
        <v/>
      </c>
      <c r="R63">
        <v>1</v>
      </c>
    </row>
    <row r="64" spans="1:18">
      <c r="A64">
        <f>'PSP Data'!A67</f>
        <v>0</v>
      </c>
      <c r="B64" t="str">
        <f>IF('PSP Data'!B67=0,"",'PSP Data'!B67)</f>
        <v/>
      </c>
      <c r="C64">
        <f>'PSP Data'!C67</f>
        <v>0</v>
      </c>
      <c r="D64">
        <f>'PSP Data'!D67</f>
        <v>0</v>
      </c>
      <c r="E64">
        <f>'PSP Data'!E67</f>
        <v>0</v>
      </c>
      <c r="F64">
        <f>'PSP Data'!F67</f>
        <v>0</v>
      </c>
      <c r="G64">
        <f>'PSP Data'!G67</f>
        <v>0</v>
      </c>
      <c r="H64">
        <f>'PSP Data'!H67</f>
        <v>0</v>
      </c>
      <c r="I64">
        <f>'PSP Data'!I67</f>
        <v>0</v>
      </c>
      <c r="J64" s="29" t="e">
        <f t="shared" si="0"/>
        <v>#N/A</v>
      </c>
      <c r="K64" s="29" t="e">
        <f>IF(AND((A64&lt;'PSP Data'!$C$11),(A64&lt;&gt;0)),Analysis!C64,#N/A)</f>
        <v>#N/A</v>
      </c>
      <c r="L64" t="e">
        <f>IF(VLOOKUP(B64,Table1[],4)=0,"unknown", VLOOKUP(B64,Table1[],4))</f>
        <v>#N/A</v>
      </c>
      <c r="M64">
        <v>1</v>
      </c>
      <c r="N64" t="e">
        <f t="shared" si="1"/>
        <v>#N/A</v>
      </c>
      <c r="O64" t="str">
        <f t="shared" si="2"/>
        <v/>
      </c>
      <c r="P64" t="str">
        <f t="shared" si="3"/>
        <v/>
      </c>
      <c r="Q64" t="str">
        <f t="shared" si="4"/>
        <v/>
      </c>
      <c r="R64">
        <v>1</v>
      </c>
    </row>
    <row r="65" spans="1:18">
      <c r="A65">
        <f>'PSP Data'!A68</f>
        <v>0</v>
      </c>
      <c r="B65" t="str">
        <f>IF('PSP Data'!B68=0,"",'PSP Data'!B68)</f>
        <v/>
      </c>
      <c r="C65">
        <f>'PSP Data'!C68</f>
        <v>0</v>
      </c>
      <c r="D65">
        <f>'PSP Data'!D68</f>
        <v>0</v>
      </c>
      <c r="E65">
        <f>'PSP Data'!E68</f>
        <v>0</v>
      </c>
      <c r="F65">
        <f>'PSP Data'!F68</f>
        <v>0</v>
      </c>
      <c r="G65">
        <f>'PSP Data'!G68</f>
        <v>0</v>
      </c>
      <c r="H65">
        <f>'PSP Data'!H68</f>
        <v>0</v>
      </c>
      <c r="I65">
        <f>'PSP Data'!I68</f>
        <v>0</v>
      </c>
      <c r="J65" s="29" t="e">
        <f t="shared" si="0"/>
        <v>#N/A</v>
      </c>
      <c r="K65" s="29" t="e">
        <f>IF(AND((A65&lt;'PSP Data'!$C$11),(A65&lt;&gt;0)),Analysis!C65,#N/A)</f>
        <v>#N/A</v>
      </c>
      <c r="L65" t="e">
        <f>IF(VLOOKUP(B65,Table1[],4)=0,"unknown", VLOOKUP(B65,Table1[],4))</f>
        <v>#N/A</v>
      </c>
      <c r="M65">
        <v>1</v>
      </c>
      <c r="N65" t="e">
        <f t="shared" si="1"/>
        <v>#N/A</v>
      </c>
      <c r="O65" t="str">
        <f t="shared" si="2"/>
        <v/>
      </c>
      <c r="P65" t="str">
        <f t="shared" si="3"/>
        <v/>
      </c>
      <c r="Q65" t="str">
        <f t="shared" si="4"/>
        <v/>
      </c>
      <c r="R65">
        <v>1</v>
      </c>
    </row>
    <row r="66" spans="1:18">
      <c r="A66">
        <f>'PSP Data'!A69</f>
        <v>0</v>
      </c>
      <c r="B66" t="str">
        <f>IF('PSP Data'!B69=0,"",'PSP Data'!B69)</f>
        <v/>
      </c>
      <c r="C66">
        <f>'PSP Data'!C69</f>
        <v>0</v>
      </c>
      <c r="D66">
        <f>'PSP Data'!D69</f>
        <v>0</v>
      </c>
      <c r="E66">
        <f>'PSP Data'!E69</f>
        <v>0</v>
      </c>
      <c r="F66">
        <f>'PSP Data'!F69</f>
        <v>0</v>
      </c>
      <c r="G66">
        <f>'PSP Data'!G69</f>
        <v>0</v>
      </c>
      <c r="H66">
        <f>'PSP Data'!H69</f>
        <v>0</v>
      </c>
      <c r="I66">
        <f>'PSP Data'!I69</f>
        <v>0</v>
      </c>
      <c r="J66" s="29" t="e">
        <f t="shared" si="0"/>
        <v>#N/A</v>
      </c>
      <c r="K66" s="29" t="e">
        <f>IF(AND((A66&lt;'PSP Data'!$C$11),(A66&lt;&gt;0)),Analysis!C66,#N/A)</f>
        <v>#N/A</v>
      </c>
      <c r="L66" t="e">
        <f>IF(VLOOKUP(B66,Table1[],4)=0,"unknown", VLOOKUP(B66,Table1[],4))</f>
        <v>#N/A</v>
      </c>
      <c r="M66">
        <v>1</v>
      </c>
      <c r="N66" t="e">
        <f t="shared" si="1"/>
        <v>#N/A</v>
      </c>
      <c r="O66" t="str">
        <f t="shared" si="2"/>
        <v/>
      </c>
      <c r="P66" t="str">
        <f t="shared" si="3"/>
        <v/>
      </c>
      <c r="Q66" t="str">
        <f t="shared" si="4"/>
        <v/>
      </c>
      <c r="R66">
        <v>1</v>
      </c>
    </row>
    <row r="67" spans="1:18">
      <c r="A67">
        <f>'PSP Data'!A70</f>
        <v>0</v>
      </c>
      <c r="B67" t="str">
        <f>IF('PSP Data'!B70=0,"",'PSP Data'!B70)</f>
        <v/>
      </c>
      <c r="C67">
        <f>'PSP Data'!C70</f>
        <v>0</v>
      </c>
      <c r="D67">
        <f>'PSP Data'!D70</f>
        <v>0</v>
      </c>
      <c r="E67">
        <f>'PSP Data'!E70</f>
        <v>0</v>
      </c>
      <c r="F67">
        <f>'PSP Data'!F70</f>
        <v>0</v>
      </c>
      <c r="G67">
        <f>'PSP Data'!G70</f>
        <v>0</v>
      </c>
      <c r="H67">
        <f>'PSP Data'!H70</f>
        <v>0</v>
      </c>
      <c r="I67">
        <f>'PSP Data'!I70</f>
        <v>0</v>
      </c>
      <c r="J67" s="29" t="e">
        <f t="shared" si="0"/>
        <v>#N/A</v>
      </c>
      <c r="K67" s="29" t="e">
        <f>IF(AND((A67&lt;'PSP Data'!$C$11),(A67&lt;&gt;0)),Analysis!C67,#N/A)</f>
        <v>#N/A</v>
      </c>
      <c r="L67" t="e">
        <f>IF(VLOOKUP(B67,Table1[],4)=0,"unknown", VLOOKUP(B67,Table1[],4))</f>
        <v>#N/A</v>
      </c>
      <c r="M67">
        <v>1</v>
      </c>
      <c r="N67" t="e">
        <f t="shared" si="1"/>
        <v>#N/A</v>
      </c>
      <c r="O67" t="str">
        <f t="shared" si="2"/>
        <v/>
      </c>
      <c r="P67" t="str">
        <f t="shared" si="3"/>
        <v/>
      </c>
      <c r="Q67" t="str">
        <f t="shared" si="4"/>
        <v/>
      </c>
      <c r="R67">
        <v>1</v>
      </c>
    </row>
    <row r="68" spans="1:18">
      <c r="A68">
        <f>'PSP Data'!A71</f>
        <v>0</v>
      </c>
      <c r="B68" t="str">
        <f>IF('PSP Data'!B71=0,"",'PSP Data'!B71)</f>
        <v/>
      </c>
      <c r="C68">
        <f>'PSP Data'!C71</f>
        <v>0</v>
      </c>
      <c r="D68">
        <f>'PSP Data'!D71</f>
        <v>0</v>
      </c>
      <c r="E68">
        <f>'PSP Data'!E71</f>
        <v>0</v>
      </c>
      <c r="F68">
        <f>'PSP Data'!F71</f>
        <v>0</v>
      </c>
      <c r="G68">
        <f>'PSP Data'!G71</f>
        <v>0</v>
      </c>
      <c r="H68">
        <f>'PSP Data'!H71</f>
        <v>0</v>
      </c>
      <c r="I68">
        <f>'PSP Data'!I71</f>
        <v>0</v>
      </c>
      <c r="J68" s="29" t="e">
        <f t="shared" si="0"/>
        <v>#N/A</v>
      </c>
      <c r="K68" s="29" t="e">
        <f>IF(AND((A68&lt;'PSP Data'!$C$11),(A68&lt;&gt;0)),Analysis!C68,#N/A)</f>
        <v>#N/A</v>
      </c>
      <c r="L68" t="e">
        <f>IF(VLOOKUP(B68,Table1[],4)=0,"unknown", VLOOKUP(B68,Table1[],4))</f>
        <v>#N/A</v>
      </c>
      <c r="M68">
        <v>1</v>
      </c>
      <c r="N68" t="e">
        <f t="shared" si="1"/>
        <v>#N/A</v>
      </c>
      <c r="O68" t="str">
        <f t="shared" si="2"/>
        <v/>
      </c>
      <c r="P68" t="str">
        <f t="shared" si="3"/>
        <v/>
      </c>
      <c r="Q68" t="str">
        <f t="shared" si="4"/>
        <v/>
      </c>
      <c r="R68">
        <v>1</v>
      </c>
    </row>
    <row r="69" spans="1:18">
      <c r="A69">
        <f>'PSP Data'!A72</f>
        <v>0</v>
      </c>
      <c r="B69" t="str">
        <f>IF('PSP Data'!B72=0,"",'PSP Data'!B72)</f>
        <v/>
      </c>
      <c r="C69">
        <f>'PSP Data'!C72</f>
        <v>0</v>
      </c>
      <c r="D69">
        <f>'PSP Data'!D72</f>
        <v>0</v>
      </c>
      <c r="E69">
        <f>'PSP Data'!E72</f>
        <v>0</v>
      </c>
      <c r="F69">
        <f>'PSP Data'!F72</f>
        <v>0</v>
      </c>
      <c r="G69">
        <f>'PSP Data'!G72</f>
        <v>0</v>
      </c>
      <c r="H69">
        <f>'PSP Data'!H72</f>
        <v>0</v>
      </c>
      <c r="I69">
        <f>'PSP Data'!I72</f>
        <v>0</v>
      </c>
      <c r="J69" s="29" t="e">
        <f t="shared" si="0"/>
        <v>#N/A</v>
      </c>
      <c r="K69" s="29" t="e">
        <f>IF(AND((A69&lt;'PSP Data'!$C$11),(A69&lt;&gt;0)),Analysis!C69,#N/A)</f>
        <v>#N/A</v>
      </c>
      <c r="L69" t="e">
        <f>IF(VLOOKUP(B69,Table1[],4)=0,"unknown", VLOOKUP(B69,Table1[],4))</f>
        <v>#N/A</v>
      </c>
      <c r="M69">
        <v>1</v>
      </c>
      <c r="N69" t="e">
        <f t="shared" si="1"/>
        <v>#N/A</v>
      </c>
      <c r="O69" t="str">
        <f t="shared" si="2"/>
        <v/>
      </c>
      <c r="P69" t="str">
        <f t="shared" si="3"/>
        <v/>
      </c>
      <c r="Q69" t="str">
        <f t="shared" si="4"/>
        <v/>
      </c>
      <c r="R69">
        <v>1</v>
      </c>
    </row>
    <row r="70" spans="1:18">
      <c r="A70">
        <f>'PSP Data'!A73</f>
        <v>0</v>
      </c>
      <c r="B70" t="str">
        <f>IF('PSP Data'!B73=0,"",'PSP Data'!B73)</f>
        <v/>
      </c>
      <c r="C70">
        <f>'PSP Data'!C73</f>
        <v>0</v>
      </c>
      <c r="D70">
        <f>'PSP Data'!D73</f>
        <v>0</v>
      </c>
      <c r="E70">
        <f>'PSP Data'!E73</f>
        <v>0</v>
      </c>
      <c r="F70">
        <f>'PSP Data'!F73</f>
        <v>0</v>
      </c>
      <c r="G70">
        <f>'PSP Data'!G73</f>
        <v>0</v>
      </c>
      <c r="H70">
        <f>'PSP Data'!H73</f>
        <v>0</v>
      </c>
      <c r="I70">
        <f>'PSP Data'!I73</f>
        <v>0</v>
      </c>
      <c r="J70" s="29" t="e">
        <f t="shared" si="0"/>
        <v>#N/A</v>
      </c>
      <c r="K70" s="29" t="e">
        <f>IF(AND((A70&lt;'PSP Data'!$C$11),(A70&lt;&gt;0)),Analysis!C70,#N/A)</f>
        <v>#N/A</v>
      </c>
      <c r="L70" t="e">
        <f>IF(VLOOKUP(B70,Table1[],4)=0,"unknown", VLOOKUP(B70,Table1[],4))</f>
        <v>#N/A</v>
      </c>
      <c r="M70">
        <v>1</v>
      </c>
      <c r="N70" t="e">
        <f t="shared" si="1"/>
        <v>#N/A</v>
      </c>
      <c r="O70" t="str">
        <f t="shared" si="2"/>
        <v/>
      </c>
      <c r="P70" t="str">
        <f t="shared" si="3"/>
        <v/>
      </c>
      <c r="Q70" t="str">
        <f t="shared" si="4"/>
        <v/>
      </c>
      <c r="R70">
        <v>1</v>
      </c>
    </row>
    <row r="71" spans="1:18">
      <c r="A71">
        <f>'PSP Data'!A74</f>
        <v>0</v>
      </c>
      <c r="B71" t="str">
        <f>IF('PSP Data'!B74=0,"",'PSP Data'!B74)</f>
        <v/>
      </c>
      <c r="C71">
        <f>'PSP Data'!C74</f>
        <v>0</v>
      </c>
      <c r="D71">
        <f>'PSP Data'!D74</f>
        <v>0</v>
      </c>
      <c r="E71">
        <f>'PSP Data'!E74</f>
        <v>0</v>
      </c>
      <c r="F71">
        <f>'PSP Data'!F74</f>
        <v>0</v>
      </c>
      <c r="G71">
        <f>'PSP Data'!G74</f>
        <v>0</v>
      </c>
      <c r="H71">
        <f>'PSP Data'!H74</f>
        <v>0</v>
      </c>
      <c r="I71">
        <f>'PSP Data'!I74</f>
        <v>0</v>
      </c>
      <c r="J71" s="29" t="e">
        <f t="shared" si="0"/>
        <v>#N/A</v>
      </c>
      <c r="K71" s="29" t="e">
        <f>IF(AND((A71&lt;'PSP Data'!$C$11),(A71&lt;&gt;0)),Analysis!C71,#N/A)</f>
        <v>#N/A</v>
      </c>
      <c r="L71" t="e">
        <f>IF(VLOOKUP(B71,Table1[],4)=0,"unknown", VLOOKUP(B71,Table1[],4))</f>
        <v>#N/A</v>
      </c>
      <c r="M71">
        <v>1</v>
      </c>
      <c r="N71" t="e">
        <f t="shared" si="1"/>
        <v>#N/A</v>
      </c>
      <c r="O71" t="str">
        <f t="shared" si="2"/>
        <v/>
      </c>
      <c r="P71" t="str">
        <f t="shared" si="3"/>
        <v/>
      </c>
      <c r="Q71" t="str">
        <f t="shared" si="4"/>
        <v/>
      </c>
      <c r="R71">
        <v>1</v>
      </c>
    </row>
    <row r="72" spans="1:18">
      <c r="A72">
        <f>'PSP Data'!A75</f>
        <v>0</v>
      </c>
      <c r="B72" t="str">
        <f>IF('PSP Data'!B75=0,"",'PSP Data'!B75)</f>
        <v/>
      </c>
      <c r="C72">
        <f>'PSP Data'!C75</f>
        <v>0</v>
      </c>
      <c r="D72">
        <f>'PSP Data'!D75</f>
        <v>0</v>
      </c>
      <c r="E72">
        <f>'PSP Data'!E75</f>
        <v>0</v>
      </c>
      <c r="F72">
        <f>'PSP Data'!F75</f>
        <v>0</v>
      </c>
      <c r="G72">
        <f>'PSP Data'!G75</f>
        <v>0</v>
      </c>
      <c r="H72">
        <f>'PSP Data'!H75</f>
        <v>0</v>
      </c>
      <c r="I72">
        <f>'PSP Data'!I75</f>
        <v>0</v>
      </c>
      <c r="J72" s="29" t="e">
        <f t="shared" si="0"/>
        <v>#N/A</v>
      </c>
      <c r="K72" s="29" t="e">
        <f>IF(AND((A72&lt;'PSP Data'!$C$11),(A72&lt;&gt;0)),Analysis!C72,#N/A)</f>
        <v>#N/A</v>
      </c>
      <c r="L72" t="e">
        <f>IF(VLOOKUP(B72,Table1[],4)=0,"unknown", VLOOKUP(B72,Table1[],4))</f>
        <v>#N/A</v>
      </c>
      <c r="M72">
        <v>1</v>
      </c>
      <c r="N72" t="e">
        <f t="shared" si="1"/>
        <v>#N/A</v>
      </c>
      <c r="O72" t="str">
        <f t="shared" si="2"/>
        <v/>
      </c>
      <c r="P72" t="str">
        <f t="shared" si="3"/>
        <v/>
      </c>
      <c r="Q72" t="str">
        <f t="shared" si="4"/>
        <v/>
      </c>
      <c r="R72">
        <v>1</v>
      </c>
    </row>
    <row r="73" spans="1:18">
      <c r="A73">
        <f>'PSP Data'!A76</f>
        <v>0</v>
      </c>
      <c r="B73" t="str">
        <f>IF('PSP Data'!B76=0,"",'PSP Data'!B76)</f>
        <v/>
      </c>
      <c r="C73">
        <f>'PSP Data'!C76</f>
        <v>0</v>
      </c>
      <c r="D73">
        <f>'PSP Data'!D76</f>
        <v>0</v>
      </c>
      <c r="E73">
        <f>'PSP Data'!E76</f>
        <v>0</v>
      </c>
      <c r="F73">
        <f>'PSP Data'!F76</f>
        <v>0</v>
      </c>
      <c r="G73">
        <f>'PSP Data'!G76</f>
        <v>0</v>
      </c>
      <c r="H73">
        <f>'PSP Data'!H76</f>
        <v>0</v>
      </c>
      <c r="I73">
        <f>'PSP Data'!I76</f>
        <v>0</v>
      </c>
      <c r="J73" s="29" t="e">
        <f t="shared" si="0"/>
        <v>#N/A</v>
      </c>
      <c r="K73" s="29" t="e">
        <f>IF(AND((A73&lt;'PSP Data'!$C$11),(A73&lt;&gt;0)),Analysis!C73,#N/A)</f>
        <v>#N/A</v>
      </c>
      <c r="L73" t="e">
        <f>IF(VLOOKUP(B73,Table1[],4)=0,"unknown", VLOOKUP(B73,Table1[],4))</f>
        <v>#N/A</v>
      </c>
      <c r="M73">
        <v>1</v>
      </c>
      <c r="N73" t="e">
        <f t="shared" si="1"/>
        <v>#N/A</v>
      </c>
      <c r="O73" t="str">
        <f t="shared" si="2"/>
        <v/>
      </c>
      <c r="P73" t="str">
        <f t="shared" si="3"/>
        <v/>
      </c>
      <c r="Q73" t="str">
        <f t="shared" si="4"/>
        <v/>
      </c>
      <c r="R73">
        <v>1</v>
      </c>
    </row>
    <row r="74" spans="1:18">
      <c r="A74">
        <f>'PSP Data'!A77</f>
        <v>0</v>
      </c>
      <c r="B74" t="str">
        <f>IF('PSP Data'!B77=0,"",'PSP Data'!B77)</f>
        <v/>
      </c>
      <c r="C74">
        <f>'PSP Data'!C77</f>
        <v>0</v>
      </c>
      <c r="D74">
        <f>'PSP Data'!D77</f>
        <v>0</v>
      </c>
      <c r="E74">
        <f>'PSP Data'!E77</f>
        <v>0</v>
      </c>
      <c r="F74">
        <f>'PSP Data'!F77</f>
        <v>0</v>
      </c>
      <c r="G74">
        <f>'PSP Data'!G77</f>
        <v>0</v>
      </c>
      <c r="H74">
        <f>'PSP Data'!H77</f>
        <v>0</v>
      </c>
      <c r="I74">
        <f>'PSP Data'!I77</f>
        <v>0</v>
      </c>
      <c r="J74" s="29" t="e">
        <f t="shared" si="0"/>
        <v>#N/A</v>
      </c>
      <c r="K74" s="29" t="e">
        <f>IF(AND((A74&lt;'PSP Data'!$C$11),(A74&lt;&gt;0)),Analysis!C74,#N/A)</f>
        <v>#N/A</v>
      </c>
      <c r="L74" t="e">
        <f>IF(VLOOKUP(B74,Table1[],4)=0,"unknown", VLOOKUP(B74,Table1[],4))</f>
        <v>#N/A</v>
      </c>
      <c r="M74">
        <v>1</v>
      </c>
      <c r="N74" t="e">
        <f t="shared" si="1"/>
        <v>#N/A</v>
      </c>
      <c r="O74" t="str">
        <f t="shared" si="2"/>
        <v/>
      </c>
      <c r="P74" t="str">
        <f t="shared" si="3"/>
        <v/>
      </c>
      <c r="Q74" t="str">
        <f t="shared" si="4"/>
        <v/>
      </c>
      <c r="R74">
        <v>1</v>
      </c>
    </row>
    <row r="75" spans="1:18">
      <c r="A75">
        <f>'PSP Data'!A78</f>
        <v>0</v>
      </c>
      <c r="B75" t="str">
        <f>IF('PSP Data'!B78=0,"",'PSP Data'!B78)</f>
        <v/>
      </c>
      <c r="C75">
        <f>'PSP Data'!C78</f>
        <v>0</v>
      </c>
      <c r="D75">
        <f>'PSP Data'!D78</f>
        <v>0</v>
      </c>
      <c r="E75">
        <f>'PSP Data'!E78</f>
        <v>0</v>
      </c>
      <c r="F75">
        <f>'PSP Data'!F78</f>
        <v>0</v>
      </c>
      <c r="G75">
        <f>'PSP Data'!G78</f>
        <v>0</v>
      </c>
      <c r="H75">
        <f>'PSP Data'!H78</f>
        <v>0</v>
      </c>
      <c r="I75">
        <f>'PSP Data'!I78</f>
        <v>0</v>
      </c>
      <c r="J75" s="29" t="e">
        <f t="shared" si="0"/>
        <v>#N/A</v>
      </c>
      <c r="K75" s="29" t="e">
        <f>IF(AND((A75&lt;'PSP Data'!$C$11),(A75&lt;&gt;0)),Analysis!C75,#N/A)</f>
        <v>#N/A</v>
      </c>
      <c r="L75" t="e">
        <f>IF(VLOOKUP(B75,Table1[],4)=0,"unknown", VLOOKUP(B75,Table1[],4))</f>
        <v>#N/A</v>
      </c>
      <c r="M75">
        <v>1</v>
      </c>
      <c r="N75" t="e">
        <f t="shared" si="1"/>
        <v>#N/A</v>
      </c>
      <c r="O75" t="str">
        <f t="shared" si="2"/>
        <v/>
      </c>
      <c r="P75" t="str">
        <f t="shared" si="3"/>
        <v/>
      </c>
      <c r="Q75" t="str">
        <f t="shared" si="4"/>
        <v/>
      </c>
      <c r="R75">
        <v>1</v>
      </c>
    </row>
    <row r="76" spans="1:18">
      <c r="A76">
        <f>'PSP Data'!A79</f>
        <v>0</v>
      </c>
      <c r="B76" t="str">
        <f>IF('PSP Data'!B79=0,"",'PSP Data'!B79)</f>
        <v/>
      </c>
      <c r="C76">
        <f>'PSP Data'!C79</f>
        <v>0</v>
      </c>
      <c r="D76">
        <f>'PSP Data'!D79</f>
        <v>0</v>
      </c>
      <c r="E76">
        <f>'PSP Data'!E79</f>
        <v>0</v>
      </c>
      <c r="F76">
        <f>'PSP Data'!F79</f>
        <v>0</v>
      </c>
      <c r="G76">
        <f>'PSP Data'!G79</f>
        <v>0</v>
      </c>
      <c r="H76">
        <f>'PSP Data'!H79</f>
        <v>0</v>
      </c>
      <c r="I76">
        <f>'PSP Data'!I79</f>
        <v>0</v>
      </c>
      <c r="J76" s="29" t="e">
        <f t="shared" si="0"/>
        <v>#N/A</v>
      </c>
      <c r="K76" s="29" t="e">
        <f>IF(AND((A76&lt;'PSP Data'!$C$11),(A76&lt;&gt;0)),Analysis!C76,#N/A)</f>
        <v>#N/A</v>
      </c>
      <c r="L76" t="e">
        <f>IF(VLOOKUP(B76,Table1[],4)=0,"unknown", VLOOKUP(B76,Table1[],4))</f>
        <v>#N/A</v>
      </c>
      <c r="M76">
        <v>1</v>
      </c>
      <c r="N76" t="e">
        <f t="shared" si="1"/>
        <v>#N/A</v>
      </c>
      <c r="O76" t="str">
        <f t="shared" si="2"/>
        <v/>
      </c>
      <c r="P76" t="str">
        <f t="shared" si="3"/>
        <v/>
      </c>
      <c r="Q76" t="str">
        <f t="shared" si="4"/>
        <v/>
      </c>
      <c r="R76">
        <v>1</v>
      </c>
    </row>
    <row r="77" spans="1:18">
      <c r="A77">
        <f>'PSP Data'!A80</f>
        <v>0</v>
      </c>
      <c r="B77" t="str">
        <f>IF('PSP Data'!B80=0,"",'PSP Data'!B80)</f>
        <v/>
      </c>
      <c r="C77">
        <f>'PSP Data'!C80</f>
        <v>0</v>
      </c>
      <c r="D77">
        <f>'PSP Data'!D80</f>
        <v>0</v>
      </c>
      <c r="E77">
        <f>'PSP Data'!E80</f>
        <v>0</v>
      </c>
      <c r="F77">
        <f>'PSP Data'!F80</f>
        <v>0</v>
      </c>
      <c r="G77">
        <f>'PSP Data'!G80</f>
        <v>0</v>
      </c>
      <c r="H77">
        <f>'PSP Data'!H80</f>
        <v>0</v>
      </c>
      <c r="I77">
        <f>'PSP Data'!I80</f>
        <v>0</v>
      </c>
      <c r="J77" s="29" t="e">
        <f t="shared" si="0"/>
        <v>#N/A</v>
      </c>
      <c r="K77" s="29" t="e">
        <f>IF(AND((A77&lt;'PSP Data'!$C$11),(A77&lt;&gt;0)),Analysis!C77,#N/A)</f>
        <v>#N/A</v>
      </c>
      <c r="L77" t="e">
        <f>IF(VLOOKUP(B77,Table1[],4)=0,"unknown", VLOOKUP(B77,Table1[],4))</f>
        <v>#N/A</v>
      </c>
      <c r="M77">
        <v>1</v>
      </c>
      <c r="N77" t="e">
        <f t="shared" si="1"/>
        <v>#N/A</v>
      </c>
      <c r="O77" t="str">
        <f t="shared" si="2"/>
        <v/>
      </c>
      <c r="P77" t="str">
        <f t="shared" si="3"/>
        <v/>
      </c>
      <c r="Q77" t="str">
        <f t="shared" si="4"/>
        <v/>
      </c>
      <c r="R77">
        <v>1</v>
      </c>
    </row>
    <row r="78" spans="1:18">
      <c r="A78">
        <f>'PSP Data'!A81</f>
        <v>0</v>
      </c>
      <c r="B78" t="str">
        <f>IF('PSP Data'!B81=0,"",'PSP Data'!B81)</f>
        <v/>
      </c>
      <c r="C78">
        <f>'PSP Data'!C81</f>
        <v>0</v>
      </c>
      <c r="D78">
        <f>'PSP Data'!D81</f>
        <v>0</v>
      </c>
      <c r="E78">
        <f>'PSP Data'!E81</f>
        <v>0</v>
      </c>
      <c r="F78">
        <f>'PSP Data'!F81</f>
        <v>0</v>
      </c>
      <c r="G78">
        <f>'PSP Data'!G81</f>
        <v>0</v>
      </c>
      <c r="H78">
        <f>'PSP Data'!H81</f>
        <v>0</v>
      </c>
      <c r="I78">
        <f>'PSP Data'!I81</f>
        <v>0</v>
      </c>
      <c r="J78" s="29" t="e">
        <f t="shared" si="0"/>
        <v>#N/A</v>
      </c>
      <c r="K78" s="29" t="e">
        <f>IF(AND((A78&lt;'PSP Data'!$C$11),(A78&lt;&gt;0)),Analysis!C78,#N/A)</f>
        <v>#N/A</v>
      </c>
      <c r="L78" t="e">
        <f>IF(VLOOKUP(B78,Table1[],4)=0,"unknown", VLOOKUP(B78,Table1[],4))</f>
        <v>#N/A</v>
      </c>
      <c r="M78">
        <v>1</v>
      </c>
      <c r="N78" t="e">
        <f t="shared" si="1"/>
        <v>#N/A</v>
      </c>
      <c r="O78" t="str">
        <f t="shared" si="2"/>
        <v/>
      </c>
      <c r="P78" t="str">
        <f t="shared" si="3"/>
        <v/>
      </c>
      <c r="Q78" t="str">
        <f t="shared" si="4"/>
        <v/>
      </c>
      <c r="R78">
        <v>1</v>
      </c>
    </row>
    <row r="79" spans="1:18">
      <c r="A79">
        <f>'PSP Data'!A82</f>
        <v>0</v>
      </c>
      <c r="B79" t="str">
        <f>IF('PSP Data'!B82=0,"",'PSP Data'!B82)</f>
        <v/>
      </c>
      <c r="C79">
        <f>'PSP Data'!C82</f>
        <v>0</v>
      </c>
      <c r="D79">
        <f>'PSP Data'!D82</f>
        <v>0</v>
      </c>
      <c r="E79">
        <f>'PSP Data'!E82</f>
        <v>0</v>
      </c>
      <c r="F79">
        <f>'PSP Data'!F82</f>
        <v>0</v>
      </c>
      <c r="G79">
        <f>'PSP Data'!G82</f>
        <v>0</v>
      </c>
      <c r="H79">
        <f>'PSP Data'!H82</f>
        <v>0</v>
      </c>
      <c r="I79">
        <f>'PSP Data'!I82</f>
        <v>0</v>
      </c>
      <c r="J79" s="29" t="e">
        <f t="shared" si="0"/>
        <v>#N/A</v>
      </c>
      <c r="K79" s="29" t="e">
        <f>IF(AND((A79&lt;'PSP Data'!$C$11),(A79&lt;&gt;0)),Analysis!C79,#N/A)</f>
        <v>#N/A</v>
      </c>
      <c r="L79" t="e">
        <f>IF(VLOOKUP(B79,Table1[],4)=0,"unknown", VLOOKUP(B79,Table1[],4))</f>
        <v>#N/A</v>
      </c>
      <c r="M79">
        <v>1</v>
      </c>
      <c r="N79" t="e">
        <f t="shared" si="1"/>
        <v>#N/A</v>
      </c>
      <c r="O79" t="str">
        <f t="shared" si="2"/>
        <v/>
      </c>
      <c r="P79" t="str">
        <f t="shared" si="3"/>
        <v/>
      </c>
      <c r="Q79" t="str">
        <f t="shared" si="4"/>
        <v/>
      </c>
      <c r="R79">
        <v>1</v>
      </c>
    </row>
    <row r="80" spans="1:18">
      <c r="A80">
        <f>'PSP Data'!A83</f>
        <v>0</v>
      </c>
      <c r="B80" t="str">
        <f>IF('PSP Data'!B83=0,"",'PSP Data'!B83)</f>
        <v/>
      </c>
      <c r="C80">
        <f>'PSP Data'!C83</f>
        <v>0</v>
      </c>
      <c r="D80">
        <f>'PSP Data'!D83</f>
        <v>0</v>
      </c>
      <c r="E80">
        <f>'PSP Data'!E83</f>
        <v>0</v>
      </c>
      <c r="F80">
        <f>'PSP Data'!F83</f>
        <v>0</v>
      </c>
      <c r="G80">
        <f>'PSP Data'!G83</f>
        <v>0</v>
      </c>
      <c r="H80">
        <f>'PSP Data'!H83</f>
        <v>0</v>
      </c>
      <c r="I80">
        <f>'PSP Data'!I83</f>
        <v>0</v>
      </c>
      <c r="J80" s="29" t="e">
        <f t="shared" si="0"/>
        <v>#N/A</v>
      </c>
      <c r="K80" s="29" t="e">
        <f>IF(AND((A80&lt;'PSP Data'!$C$11),(A80&lt;&gt;0)),Analysis!C80,#N/A)</f>
        <v>#N/A</v>
      </c>
      <c r="L80" t="e">
        <f>IF(VLOOKUP(B80,Table1[],4)=0,"unknown", VLOOKUP(B80,Table1[],4))</f>
        <v>#N/A</v>
      </c>
      <c r="M80">
        <v>1</v>
      </c>
      <c r="N80" t="e">
        <f t="shared" si="1"/>
        <v>#N/A</v>
      </c>
      <c r="O80" t="str">
        <f t="shared" si="2"/>
        <v/>
      </c>
      <c r="P80" t="str">
        <f t="shared" si="3"/>
        <v/>
      </c>
      <c r="Q80" t="str">
        <f t="shared" si="4"/>
        <v/>
      </c>
      <c r="R80">
        <v>1</v>
      </c>
    </row>
    <row r="81" spans="1:18">
      <c r="A81">
        <f>'PSP Data'!A84</f>
        <v>0</v>
      </c>
      <c r="B81" t="str">
        <f>IF('PSP Data'!B84=0,"",'PSP Data'!B84)</f>
        <v/>
      </c>
      <c r="C81">
        <f>'PSP Data'!C84</f>
        <v>0</v>
      </c>
      <c r="D81">
        <f>'PSP Data'!D84</f>
        <v>0</v>
      </c>
      <c r="E81">
        <f>'PSP Data'!E84</f>
        <v>0</v>
      </c>
      <c r="F81">
        <f>'PSP Data'!F84</f>
        <v>0</v>
      </c>
      <c r="G81">
        <f>'PSP Data'!G84</f>
        <v>0</v>
      </c>
      <c r="H81">
        <f>'PSP Data'!H84</f>
        <v>0</v>
      </c>
      <c r="I81">
        <f>'PSP Data'!I84</f>
        <v>0</v>
      </c>
      <c r="J81" s="29" t="e">
        <f t="shared" si="0"/>
        <v>#N/A</v>
      </c>
      <c r="K81" s="29" t="e">
        <f>IF(AND((A81&lt;'PSP Data'!$C$11),(A81&lt;&gt;0)),Analysis!C81,#N/A)</f>
        <v>#N/A</v>
      </c>
      <c r="L81" t="e">
        <f>IF(VLOOKUP(B81,Table1[],4)=0,"unknown", VLOOKUP(B81,Table1[],4))</f>
        <v>#N/A</v>
      </c>
      <c r="M81">
        <v>1</v>
      </c>
      <c r="N81" t="e">
        <f t="shared" si="1"/>
        <v>#N/A</v>
      </c>
      <c r="O81" t="str">
        <f t="shared" si="2"/>
        <v/>
      </c>
      <c r="P81" t="str">
        <f t="shared" si="3"/>
        <v/>
      </c>
      <c r="Q81" t="str">
        <f t="shared" si="4"/>
        <v/>
      </c>
      <c r="R81">
        <v>1</v>
      </c>
    </row>
    <row r="82" spans="1:18">
      <c r="A82">
        <f>'PSP Data'!A85</f>
        <v>0</v>
      </c>
      <c r="B82" t="str">
        <f>IF('PSP Data'!B85=0,"",'PSP Data'!B85)</f>
        <v/>
      </c>
      <c r="C82">
        <f>'PSP Data'!C85</f>
        <v>0</v>
      </c>
      <c r="D82">
        <f>'PSP Data'!D85</f>
        <v>0</v>
      </c>
      <c r="E82">
        <f>'PSP Data'!E85</f>
        <v>0</v>
      </c>
      <c r="F82">
        <f>'PSP Data'!F85</f>
        <v>0</v>
      </c>
      <c r="G82">
        <f>'PSP Data'!G85</f>
        <v>0</v>
      </c>
      <c r="H82">
        <f>'PSP Data'!H85</f>
        <v>0</v>
      </c>
      <c r="I82">
        <f>'PSP Data'!I85</f>
        <v>0</v>
      </c>
      <c r="J82" s="29" t="e">
        <f t="shared" si="0"/>
        <v>#N/A</v>
      </c>
      <c r="K82" s="29" t="e">
        <f>IF(AND((A82&lt;'PSP Data'!$C$11),(A82&lt;&gt;0)),Analysis!C82,#N/A)</f>
        <v>#N/A</v>
      </c>
      <c r="L82" t="e">
        <f>IF(VLOOKUP(B82,Table1[],4)=0,"unknown", VLOOKUP(B82,Table1[],4))</f>
        <v>#N/A</v>
      </c>
      <c r="M82">
        <v>1</v>
      </c>
      <c r="N82" t="e">
        <f t="shared" si="1"/>
        <v>#N/A</v>
      </c>
      <c r="O82" t="str">
        <f t="shared" si="2"/>
        <v/>
      </c>
      <c r="P82" t="str">
        <f t="shared" si="3"/>
        <v/>
      </c>
      <c r="Q82" t="str">
        <f t="shared" si="4"/>
        <v/>
      </c>
      <c r="R82">
        <v>1</v>
      </c>
    </row>
    <row r="83" spans="1:18">
      <c r="A83">
        <f>'PSP Data'!A86</f>
        <v>0</v>
      </c>
      <c r="B83" t="str">
        <f>IF('PSP Data'!B86=0,"",'PSP Data'!B86)</f>
        <v/>
      </c>
      <c r="C83">
        <f>'PSP Data'!C86</f>
        <v>0</v>
      </c>
      <c r="D83">
        <f>'PSP Data'!D86</f>
        <v>0</v>
      </c>
      <c r="E83">
        <f>'PSP Data'!E86</f>
        <v>0</v>
      </c>
      <c r="F83">
        <f>'PSP Data'!F86</f>
        <v>0</v>
      </c>
      <c r="G83">
        <f>'PSP Data'!G86</f>
        <v>0</v>
      </c>
      <c r="H83">
        <f>'PSP Data'!H86</f>
        <v>0</v>
      </c>
      <c r="I83">
        <f>'PSP Data'!I86</f>
        <v>0</v>
      </c>
      <c r="J83" s="29" t="e">
        <f t="shared" si="0"/>
        <v>#N/A</v>
      </c>
      <c r="K83" s="29" t="e">
        <f>IF(AND((A83&lt;'PSP Data'!$C$11),(A83&lt;&gt;0)),Analysis!C83,#N/A)</f>
        <v>#N/A</v>
      </c>
      <c r="L83" t="e">
        <f>IF(VLOOKUP(B83,Table1[],4)=0,"unknown", VLOOKUP(B83,Table1[],4))</f>
        <v>#N/A</v>
      </c>
      <c r="M83">
        <v>1</v>
      </c>
      <c r="N83" t="e">
        <f t="shared" si="1"/>
        <v>#N/A</v>
      </c>
      <c r="O83" t="str">
        <f t="shared" si="2"/>
        <v/>
      </c>
      <c r="P83" t="str">
        <f t="shared" si="3"/>
        <v/>
      </c>
      <c r="Q83" t="str">
        <f t="shared" si="4"/>
        <v/>
      </c>
      <c r="R83">
        <v>1</v>
      </c>
    </row>
    <row r="84" spans="1:18">
      <c r="A84">
        <f>'PSP Data'!A87</f>
        <v>0</v>
      </c>
      <c r="B84" t="str">
        <f>IF('PSP Data'!B87=0,"",'PSP Data'!B87)</f>
        <v/>
      </c>
      <c r="C84">
        <f>'PSP Data'!C87</f>
        <v>0</v>
      </c>
      <c r="D84">
        <f>'PSP Data'!D87</f>
        <v>0</v>
      </c>
      <c r="E84">
        <f>'PSP Data'!E87</f>
        <v>0</v>
      </c>
      <c r="F84">
        <f>'PSP Data'!F87</f>
        <v>0</v>
      </c>
      <c r="G84">
        <f>'PSP Data'!G87</f>
        <v>0</v>
      </c>
      <c r="H84">
        <f>'PSP Data'!H87</f>
        <v>0</v>
      </c>
      <c r="I84">
        <f>'PSP Data'!I87</f>
        <v>0</v>
      </c>
      <c r="J84" s="29" t="e">
        <f t="shared" si="0"/>
        <v>#N/A</v>
      </c>
      <c r="K84" s="29" t="e">
        <f>IF(AND((A84&lt;'PSP Data'!$C$11),(A84&lt;&gt;0)),Analysis!C84,#N/A)</f>
        <v>#N/A</v>
      </c>
      <c r="L84" t="e">
        <f>IF(VLOOKUP(B84,Table1[],4)=0,"unknown", VLOOKUP(B84,Table1[],4))</f>
        <v>#N/A</v>
      </c>
      <c r="M84">
        <v>1</v>
      </c>
      <c r="N84" t="e">
        <f t="shared" si="1"/>
        <v>#N/A</v>
      </c>
      <c r="O84" t="str">
        <f t="shared" si="2"/>
        <v/>
      </c>
      <c r="P84" t="str">
        <f t="shared" si="3"/>
        <v/>
      </c>
      <c r="Q84" t="str">
        <f t="shared" si="4"/>
        <v/>
      </c>
      <c r="R84">
        <v>1</v>
      </c>
    </row>
    <row r="85" spans="1:18">
      <c r="A85">
        <f>'PSP Data'!A88</f>
        <v>0</v>
      </c>
      <c r="B85" t="str">
        <f>IF('PSP Data'!B88=0,"",'PSP Data'!B88)</f>
        <v/>
      </c>
      <c r="C85">
        <f>'PSP Data'!C88</f>
        <v>0</v>
      </c>
      <c r="D85">
        <f>'PSP Data'!D88</f>
        <v>0</v>
      </c>
      <c r="E85">
        <f>'PSP Data'!E88</f>
        <v>0</v>
      </c>
      <c r="F85">
        <f>'PSP Data'!F88</f>
        <v>0</v>
      </c>
      <c r="G85">
        <f>'PSP Data'!G88</f>
        <v>0</v>
      </c>
      <c r="H85">
        <f>'PSP Data'!H88</f>
        <v>0</v>
      </c>
      <c r="I85">
        <f>'PSP Data'!I88</f>
        <v>0</v>
      </c>
      <c r="J85" s="29" t="e">
        <f t="shared" si="0"/>
        <v>#N/A</v>
      </c>
      <c r="K85" s="29" t="e">
        <f>IF(AND((A85&lt;'PSP Data'!$C$11),(A85&lt;&gt;0)),Analysis!C85,#N/A)</f>
        <v>#N/A</v>
      </c>
      <c r="L85" t="e">
        <f>IF(VLOOKUP(B85,Table1[],4)=0,"unknown", VLOOKUP(B85,Table1[],4))</f>
        <v>#N/A</v>
      </c>
      <c r="M85">
        <v>1</v>
      </c>
      <c r="N85" t="e">
        <f t="shared" si="1"/>
        <v>#N/A</v>
      </c>
      <c r="O85" t="str">
        <f t="shared" si="2"/>
        <v/>
      </c>
      <c r="P85" t="str">
        <f t="shared" si="3"/>
        <v/>
      </c>
      <c r="Q85" t="str">
        <f t="shared" si="4"/>
        <v/>
      </c>
      <c r="R85">
        <v>1</v>
      </c>
    </row>
    <row r="86" spans="1:18">
      <c r="A86">
        <f>'PSP Data'!A89</f>
        <v>0</v>
      </c>
      <c r="B86" t="str">
        <f>IF('PSP Data'!B89=0,"",'PSP Data'!B89)</f>
        <v/>
      </c>
      <c r="C86">
        <f>'PSP Data'!C89</f>
        <v>0</v>
      </c>
      <c r="D86">
        <f>'PSP Data'!D89</f>
        <v>0</v>
      </c>
      <c r="E86">
        <f>'PSP Data'!E89</f>
        <v>0</v>
      </c>
      <c r="F86">
        <f>'PSP Data'!F89</f>
        <v>0</v>
      </c>
      <c r="G86">
        <f>'PSP Data'!G89</f>
        <v>0</v>
      </c>
      <c r="H86">
        <f>'PSP Data'!H89</f>
        <v>0</v>
      </c>
      <c r="I86">
        <f>'PSP Data'!I89</f>
        <v>0</v>
      </c>
      <c r="J86" s="29" t="e">
        <f t="shared" ref="J86:J149" si="5">IF(C86&gt;=25,C86,#N/A)</f>
        <v>#N/A</v>
      </c>
      <c r="K86" s="29" t="e">
        <f>IF(AND((A86&lt;'PSP Data'!$C$11),(A86&lt;&gt;0)),Analysis!C86,#N/A)</f>
        <v>#N/A</v>
      </c>
      <c r="L86" t="e">
        <f>IF(VLOOKUP(B86,Table1[],4)=0,"unknown", VLOOKUP(B86,Table1[],4))</f>
        <v>#N/A</v>
      </c>
      <c r="M86">
        <v>1</v>
      </c>
      <c r="N86" t="e">
        <f t="shared" ref="N86:N149" si="6">IF(L86="timber",B86,"")</f>
        <v>#N/A</v>
      </c>
      <c r="O86" t="str">
        <f t="shared" ref="O86:O149" si="7">IF(D86="y",B86,"")</f>
        <v/>
      </c>
      <c r="P86" t="str">
        <f t="shared" ref="P86:P149" si="8">IF(F86="y",B86,"")</f>
        <v/>
      </c>
      <c r="Q86" t="str">
        <f t="shared" ref="Q86:Q149" si="9">IF(B86="","",ISNUMBER(FIND("Dead wood",B86:B965)))</f>
        <v/>
      </c>
      <c r="R86">
        <v>1</v>
      </c>
    </row>
    <row r="87" spans="1:18">
      <c r="A87">
        <f>'PSP Data'!A90</f>
        <v>0</v>
      </c>
      <c r="B87" t="str">
        <f>IF('PSP Data'!B90=0,"",'PSP Data'!B90)</f>
        <v/>
      </c>
      <c r="C87">
        <f>'PSP Data'!C90</f>
        <v>0</v>
      </c>
      <c r="D87">
        <f>'PSP Data'!D90</f>
        <v>0</v>
      </c>
      <c r="E87">
        <f>'PSP Data'!E90</f>
        <v>0</v>
      </c>
      <c r="F87">
        <f>'PSP Data'!F90</f>
        <v>0</v>
      </c>
      <c r="G87">
        <f>'PSP Data'!G90</f>
        <v>0</v>
      </c>
      <c r="H87">
        <f>'PSP Data'!H90</f>
        <v>0</v>
      </c>
      <c r="I87">
        <f>'PSP Data'!I90</f>
        <v>0</v>
      </c>
      <c r="J87" s="29" t="e">
        <f t="shared" si="5"/>
        <v>#N/A</v>
      </c>
      <c r="K87" s="29" t="e">
        <f>IF(AND((A87&lt;'PSP Data'!$C$11),(A87&lt;&gt;0)),Analysis!C87,#N/A)</f>
        <v>#N/A</v>
      </c>
      <c r="L87" t="e">
        <f>IF(VLOOKUP(B87,Table1[],4)=0,"unknown", VLOOKUP(B87,Table1[],4))</f>
        <v>#N/A</v>
      </c>
      <c r="M87">
        <v>1</v>
      </c>
      <c r="N87" t="e">
        <f t="shared" si="6"/>
        <v>#N/A</v>
      </c>
      <c r="O87" t="str">
        <f t="shared" si="7"/>
        <v/>
      </c>
      <c r="P87" t="str">
        <f t="shared" si="8"/>
        <v/>
      </c>
      <c r="Q87" t="str">
        <f t="shared" si="9"/>
        <v/>
      </c>
      <c r="R87">
        <v>1</v>
      </c>
    </row>
    <row r="88" spans="1:18">
      <c r="A88">
        <f>'PSP Data'!A91</f>
        <v>0</v>
      </c>
      <c r="B88" t="str">
        <f>IF('PSP Data'!B91=0,"",'PSP Data'!B91)</f>
        <v/>
      </c>
      <c r="C88">
        <f>'PSP Data'!C91</f>
        <v>0</v>
      </c>
      <c r="D88">
        <f>'PSP Data'!D91</f>
        <v>0</v>
      </c>
      <c r="E88">
        <f>'PSP Data'!E91</f>
        <v>0</v>
      </c>
      <c r="F88">
        <f>'PSP Data'!F91</f>
        <v>0</v>
      </c>
      <c r="G88">
        <f>'PSP Data'!G91</f>
        <v>0</v>
      </c>
      <c r="H88">
        <f>'PSP Data'!H91</f>
        <v>0</v>
      </c>
      <c r="I88">
        <f>'PSP Data'!I91</f>
        <v>0</v>
      </c>
      <c r="J88" s="29" t="e">
        <f t="shared" si="5"/>
        <v>#N/A</v>
      </c>
      <c r="K88" s="29" t="e">
        <f>IF(AND((A88&lt;'PSP Data'!$C$11),(A88&lt;&gt;0)),Analysis!C88,#N/A)</f>
        <v>#N/A</v>
      </c>
      <c r="L88" t="e">
        <f>IF(VLOOKUP(B88,Table1[],4)=0,"unknown", VLOOKUP(B88,Table1[],4))</f>
        <v>#N/A</v>
      </c>
      <c r="M88">
        <v>1</v>
      </c>
      <c r="N88" t="e">
        <f t="shared" si="6"/>
        <v>#N/A</v>
      </c>
      <c r="O88" t="str">
        <f t="shared" si="7"/>
        <v/>
      </c>
      <c r="P88" t="str">
        <f t="shared" si="8"/>
        <v/>
      </c>
      <c r="Q88" t="str">
        <f t="shared" si="9"/>
        <v/>
      </c>
      <c r="R88">
        <v>1</v>
      </c>
    </row>
    <row r="89" spans="1:18">
      <c r="A89">
        <f>'PSP Data'!A92</f>
        <v>0</v>
      </c>
      <c r="B89" t="str">
        <f>IF('PSP Data'!B92=0,"",'PSP Data'!B92)</f>
        <v/>
      </c>
      <c r="C89">
        <f>'PSP Data'!C92</f>
        <v>0</v>
      </c>
      <c r="D89">
        <f>'PSP Data'!D92</f>
        <v>0</v>
      </c>
      <c r="E89">
        <f>'PSP Data'!E92</f>
        <v>0</v>
      </c>
      <c r="F89">
        <f>'PSP Data'!F92</f>
        <v>0</v>
      </c>
      <c r="G89">
        <f>'PSP Data'!G92</f>
        <v>0</v>
      </c>
      <c r="H89">
        <f>'PSP Data'!H92</f>
        <v>0</v>
      </c>
      <c r="I89">
        <f>'PSP Data'!I92</f>
        <v>0</v>
      </c>
      <c r="J89" s="29" t="e">
        <f t="shared" si="5"/>
        <v>#N/A</v>
      </c>
      <c r="K89" s="29" t="e">
        <f>IF(AND((A89&lt;'PSP Data'!$C$11),(A89&lt;&gt;0)),Analysis!C89,#N/A)</f>
        <v>#N/A</v>
      </c>
      <c r="L89" t="e">
        <f>IF(VLOOKUP(B89,Table1[],4)=0,"unknown", VLOOKUP(B89,Table1[],4))</f>
        <v>#N/A</v>
      </c>
      <c r="M89">
        <v>1</v>
      </c>
      <c r="N89" t="e">
        <f t="shared" si="6"/>
        <v>#N/A</v>
      </c>
      <c r="O89" t="str">
        <f t="shared" si="7"/>
        <v/>
      </c>
      <c r="P89" t="str">
        <f t="shared" si="8"/>
        <v/>
      </c>
      <c r="Q89" t="str">
        <f t="shared" si="9"/>
        <v/>
      </c>
      <c r="R89">
        <v>1</v>
      </c>
    </row>
    <row r="90" spans="1:18">
      <c r="A90">
        <f>'PSP Data'!A93</f>
        <v>0</v>
      </c>
      <c r="B90" t="str">
        <f>IF('PSP Data'!B93=0,"",'PSP Data'!B93)</f>
        <v/>
      </c>
      <c r="C90">
        <f>'PSP Data'!C93</f>
        <v>0</v>
      </c>
      <c r="D90">
        <f>'PSP Data'!D93</f>
        <v>0</v>
      </c>
      <c r="E90">
        <f>'PSP Data'!E93</f>
        <v>0</v>
      </c>
      <c r="F90">
        <f>'PSP Data'!F93</f>
        <v>0</v>
      </c>
      <c r="G90">
        <f>'PSP Data'!G93</f>
        <v>0</v>
      </c>
      <c r="H90">
        <f>'PSP Data'!H93</f>
        <v>0</v>
      </c>
      <c r="I90">
        <f>'PSP Data'!I93</f>
        <v>0</v>
      </c>
      <c r="J90" s="29" t="e">
        <f t="shared" si="5"/>
        <v>#N/A</v>
      </c>
      <c r="K90" s="29" t="e">
        <f>IF(AND((A90&lt;'PSP Data'!$C$11),(A90&lt;&gt;0)),Analysis!C90,#N/A)</f>
        <v>#N/A</v>
      </c>
      <c r="L90" t="e">
        <f>IF(VLOOKUP(B90,Table1[],4)=0,"unknown", VLOOKUP(B90,Table1[],4))</f>
        <v>#N/A</v>
      </c>
      <c r="M90">
        <v>1</v>
      </c>
      <c r="N90" t="e">
        <f t="shared" si="6"/>
        <v>#N/A</v>
      </c>
      <c r="O90" t="str">
        <f t="shared" si="7"/>
        <v/>
      </c>
      <c r="P90" t="str">
        <f t="shared" si="8"/>
        <v/>
      </c>
      <c r="Q90" t="str">
        <f t="shared" si="9"/>
        <v/>
      </c>
      <c r="R90">
        <v>1</v>
      </c>
    </row>
    <row r="91" spans="1:18">
      <c r="A91">
        <f>'PSP Data'!A94</f>
        <v>0</v>
      </c>
      <c r="B91" t="str">
        <f>IF('PSP Data'!B94=0,"",'PSP Data'!B94)</f>
        <v/>
      </c>
      <c r="C91">
        <f>'PSP Data'!C94</f>
        <v>0</v>
      </c>
      <c r="D91">
        <f>'PSP Data'!D94</f>
        <v>0</v>
      </c>
      <c r="E91">
        <f>'PSP Data'!E94</f>
        <v>0</v>
      </c>
      <c r="F91">
        <f>'PSP Data'!F94</f>
        <v>0</v>
      </c>
      <c r="G91">
        <f>'PSP Data'!G94</f>
        <v>0</v>
      </c>
      <c r="H91">
        <f>'PSP Data'!H94</f>
        <v>0</v>
      </c>
      <c r="I91">
        <f>'PSP Data'!I94</f>
        <v>0</v>
      </c>
      <c r="J91" s="29" t="e">
        <f t="shared" si="5"/>
        <v>#N/A</v>
      </c>
      <c r="K91" s="29" t="e">
        <f>IF(AND((A91&lt;'PSP Data'!$C$11),(A91&lt;&gt;0)),Analysis!C91,#N/A)</f>
        <v>#N/A</v>
      </c>
      <c r="L91" t="e">
        <f>IF(VLOOKUP(B91,Table1[],4)=0,"unknown", VLOOKUP(B91,Table1[],4))</f>
        <v>#N/A</v>
      </c>
      <c r="M91">
        <v>1</v>
      </c>
      <c r="N91" t="e">
        <f t="shared" si="6"/>
        <v>#N/A</v>
      </c>
      <c r="O91" t="str">
        <f t="shared" si="7"/>
        <v/>
      </c>
      <c r="P91" t="str">
        <f t="shared" si="8"/>
        <v/>
      </c>
      <c r="Q91" t="str">
        <f t="shared" si="9"/>
        <v/>
      </c>
      <c r="R91">
        <v>1</v>
      </c>
    </row>
    <row r="92" spans="1:18">
      <c r="A92">
        <f>'PSP Data'!A95</f>
        <v>0</v>
      </c>
      <c r="B92" t="str">
        <f>IF('PSP Data'!B95=0,"",'PSP Data'!B95)</f>
        <v/>
      </c>
      <c r="C92">
        <f>'PSP Data'!C95</f>
        <v>0</v>
      </c>
      <c r="D92">
        <f>'PSP Data'!D95</f>
        <v>0</v>
      </c>
      <c r="E92">
        <f>'PSP Data'!E95</f>
        <v>0</v>
      </c>
      <c r="F92">
        <f>'PSP Data'!F95</f>
        <v>0</v>
      </c>
      <c r="G92">
        <f>'PSP Data'!G95</f>
        <v>0</v>
      </c>
      <c r="H92">
        <f>'PSP Data'!H95</f>
        <v>0</v>
      </c>
      <c r="I92">
        <f>'PSP Data'!I95</f>
        <v>0</v>
      </c>
      <c r="J92" s="29" t="e">
        <f t="shared" si="5"/>
        <v>#N/A</v>
      </c>
      <c r="K92" s="29" t="e">
        <f>IF(AND((A92&lt;'PSP Data'!$C$11),(A92&lt;&gt;0)),Analysis!C92,#N/A)</f>
        <v>#N/A</v>
      </c>
      <c r="L92" t="e">
        <f>IF(VLOOKUP(B92,Table1[],4)=0,"unknown", VLOOKUP(B92,Table1[],4))</f>
        <v>#N/A</v>
      </c>
      <c r="M92">
        <v>1</v>
      </c>
      <c r="N92" t="e">
        <f t="shared" si="6"/>
        <v>#N/A</v>
      </c>
      <c r="O92" t="str">
        <f t="shared" si="7"/>
        <v/>
      </c>
      <c r="P92" t="str">
        <f t="shared" si="8"/>
        <v/>
      </c>
      <c r="Q92" t="str">
        <f t="shared" si="9"/>
        <v/>
      </c>
      <c r="R92">
        <v>1</v>
      </c>
    </row>
    <row r="93" spans="1:18">
      <c r="A93">
        <f>'PSP Data'!A96</f>
        <v>0</v>
      </c>
      <c r="B93" t="str">
        <f>IF('PSP Data'!B96=0,"",'PSP Data'!B96)</f>
        <v/>
      </c>
      <c r="C93">
        <f>'PSP Data'!C96</f>
        <v>0</v>
      </c>
      <c r="D93">
        <f>'PSP Data'!D96</f>
        <v>0</v>
      </c>
      <c r="E93">
        <f>'PSP Data'!E96</f>
        <v>0</v>
      </c>
      <c r="F93">
        <f>'PSP Data'!F96</f>
        <v>0</v>
      </c>
      <c r="G93">
        <f>'PSP Data'!G96</f>
        <v>0</v>
      </c>
      <c r="H93">
        <f>'PSP Data'!H96</f>
        <v>0</v>
      </c>
      <c r="I93">
        <f>'PSP Data'!I96</f>
        <v>0</v>
      </c>
      <c r="J93" s="29" t="e">
        <f t="shared" si="5"/>
        <v>#N/A</v>
      </c>
      <c r="K93" s="29" t="e">
        <f>IF(AND((A93&lt;'PSP Data'!$C$11),(A93&lt;&gt;0)),Analysis!C93,#N/A)</f>
        <v>#N/A</v>
      </c>
      <c r="L93" t="e">
        <f>IF(VLOOKUP(B93,Table1[],4)=0,"unknown", VLOOKUP(B93,Table1[],4))</f>
        <v>#N/A</v>
      </c>
      <c r="M93">
        <v>1</v>
      </c>
      <c r="N93" t="e">
        <f t="shared" si="6"/>
        <v>#N/A</v>
      </c>
      <c r="O93" t="str">
        <f t="shared" si="7"/>
        <v/>
      </c>
      <c r="P93" t="str">
        <f t="shared" si="8"/>
        <v/>
      </c>
      <c r="Q93" t="str">
        <f t="shared" si="9"/>
        <v/>
      </c>
      <c r="R93">
        <v>1</v>
      </c>
    </row>
    <row r="94" spans="1:18">
      <c r="A94">
        <f>'PSP Data'!A97</f>
        <v>0</v>
      </c>
      <c r="B94" t="str">
        <f>IF('PSP Data'!B97=0,"",'PSP Data'!B97)</f>
        <v/>
      </c>
      <c r="C94">
        <f>'PSP Data'!C97</f>
        <v>0</v>
      </c>
      <c r="D94">
        <f>'PSP Data'!D97</f>
        <v>0</v>
      </c>
      <c r="E94">
        <f>'PSP Data'!E97</f>
        <v>0</v>
      </c>
      <c r="F94">
        <f>'PSP Data'!F97</f>
        <v>0</v>
      </c>
      <c r="G94">
        <f>'PSP Data'!G97</f>
        <v>0</v>
      </c>
      <c r="H94">
        <f>'PSP Data'!H97</f>
        <v>0</v>
      </c>
      <c r="I94">
        <f>'PSP Data'!I97</f>
        <v>0</v>
      </c>
      <c r="J94" s="29" t="e">
        <f t="shared" si="5"/>
        <v>#N/A</v>
      </c>
      <c r="K94" s="29" t="e">
        <f>IF(AND((A94&lt;'PSP Data'!$C$11),(A94&lt;&gt;0)),Analysis!C94,#N/A)</f>
        <v>#N/A</v>
      </c>
      <c r="L94" t="e">
        <f>IF(VLOOKUP(B94,Table1[],4)=0,"unknown", VLOOKUP(B94,Table1[],4))</f>
        <v>#N/A</v>
      </c>
      <c r="M94">
        <v>1</v>
      </c>
      <c r="N94" t="e">
        <f t="shared" si="6"/>
        <v>#N/A</v>
      </c>
      <c r="O94" t="str">
        <f t="shared" si="7"/>
        <v/>
      </c>
      <c r="P94" t="str">
        <f t="shared" si="8"/>
        <v/>
      </c>
      <c r="Q94" t="str">
        <f t="shared" si="9"/>
        <v/>
      </c>
      <c r="R94">
        <v>1</v>
      </c>
    </row>
    <row r="95" spans="1:18">
      <c r="A95">
        <f>'PSP Data'!A98</f>
        <v>0</v>
      </c>
      <c r="B95" t="str">
        <f>IF('PSP Data'!B98=0,"",'PSP Data'!B98)</f>
        <v/>
      </c>
      <c r="C95">
        <f>'PSP Data'!C98</f>
        <v>0</v>
      </c>
      <c r="D95">
        <f>'PSP Data'!D98</f>
        <v>0</v>
      </c>
      <c r="E95">
        <f>'PSP Data'!E98</f>
        <v>0</v>
      </c>
      <c r="F95">
        <f>'PSP Data'!F98</f>
        <v>0</v>
      </c>
      <c r="G95">
        <f>'PSP Data'!G98</f>
        <v>0</v>
      </c>
      <c r="H95">
        <f>'PSP Data'!H98</f>
        <v>0</v>
      </c>
      <c r="I95">
        <f>'PSP Data'!I98</f>
        <v>0</v>
      </c>
      <c r="J95" s="29" t="e">
        <f t="shared" si="5"/>
        <v>#N/A</v>
      </c>
      <c r="K95" s="29" t="e">
        <f>IF(AND((A95&lt;'PSP Data'!$C$11),(A95&lt;&gt;0)),Analysis!C95,#N/A)</f>
        <v>#N/A</v>
      </c>
      <c r="L95" t="e">
        <f>IF(VLOOKUP(B95,Table1[],4)=0,"unknown", VLOOKUP(B95,Table1[],4))</f>
        <v>#N/A</v>
      </c>
      <c r="M95">
        <v>1</v>
      </c>
      <c r="N95" t="e">
        <f t="shared" si="6"/>
        <v>#N/A</v>
      </c>
      <c r="O95" t="str">
        <f t="shared" si="7"/>
        <v/>
      </c>
      <c r="P95" t="str">
        <f t="shared" si="8"/>
        <v/>
      </c>
      <c r="Q95" t="str">
        <f t="shared" si="9"/>
        <v/>
      </c>
      <c r="R95">
        <v>1</v>
      </c>
    </row>
    <row r="96" spans="1:18">
      <c r="A96">
        <f>'PSP Data'!A99</f>
        <v>0</v>
      </c>
      <c r="B96" t="str">
        <f>IF('PSP Data'!B99=0,"",'PSP Data'!B99)</f>
        <v/>
      </c>
      <c r="C96">
        <f>'PSP Data'!C99</f>
        <v>0</v>
      </c>
      <c r="D96">
        <f>'PSP Data'!D99</f>
        <v>0</v>
      </c>
      <c r="E96">
        <f>'PSP Data'!E99</f>
        <v>0</v>
      </c>
      <c r="F96">
        <f>'PSP Data'!F99</f>
        <v>0</v>
      </c>
      <c r="G96">
        <f>'PSP Data'!G99</f>
        <v>0</v>
      </c>
      <c r="H96">
        <f>'PSP Data'!H99</f>
        <v>0</v>
      </c>
      <c r="I96">
        <f>'PSP Data'!I99</f>
        <v>0</v>
      </c>
      <c r="J96" s="29" t="e">
        <f t="shared" si="5"/>
        <v>#N/A</v>
      </c>
      <c r="K96" s="29" t="e">
        <f>IF(AND((A96&lt;'PSP Data'!$C$11),(A96&lt;&gt;0)),Analysis!C96,#N/A)</f>
        <v>#N/A</v>
      </c>
      <c r="L96" t="e">
        <f>IF(VLOOKUP(B96,Table1[],4)=0,"unknown", VLOOKUP(B96,Table1[],4))</f>
        <v>#N/A</v>
      </c>
      <c r="M96">
        <v>1</v>
      </c>
      <c r="N96" t="e">
        <f t="shared" si="6"/>
        <v>#N/A</v>
      </c>
      <c r="O96" t="str">
        <f t="shared" si="7"/>
        <v/>
      </c>
      <c r="P96" t="str">
        <f t="shared" si="8"/>
        <v/>
      </c>
      <c r="Q96" t="str">
        <f t="shared" si="9"/>
        <v/>
      </c>
      <c r="R96">
        <v>1</v>
      </c>
    </row>
    <row r="97" spans="1:18">
      <c r="A97">
        <f>'PSP Data'!A100</f>
        <v>0</v>
      </c>
      <c r="B97" t="str">
        <f>IF('PSP Data'!B100=0,"",'PSP Data'!B100)</f>
        <v/>
      </c>
      <c r="C97">
        <f>'PSP Data'!C100</f>
        <v>0</v>
      </c>
      <c r="D97">
        <f>'PSP Data'!D100</f>
        <v>0</v>
      </c>
      <c r="E97">
        <f>'PSP Data'!E100</f>
        <v>0</v>
      </c>
      <c r="F97">
        <f>'PSP Data'!F100</f>
        <v>0</v>
      </c>
      <c r="G97">
        <f>'PSP Data'!G100</f>
        <v>0</v>
      </c>
      <c r="H97">
        <f>'PSP Data'!H100</f>
        <v>0</v>
      </c>
      <c r="I97">
        <f>'PSP Data'!I100</f>
        <v>0</v>
      </c>
      <c r="J97" s="29" t="e">
        <f t="shared" si="5"/>
        <v>#N/A</v>
      </c>
      <c r="K97" s="29" t="e">
        <f>IF(AND((A97&lt;'PSP Data'!$C$11),(A97&lt;&gt;0)),Analysis!C97,#N/A)</f>
        <v>#N/A</v>
      </c>
      <c r="L97" t="e">
        <f>IF(VLOOKUP(B97,Table1[],4)=0,"unknown", VLOOKUP(B97,Table1[],4))</f>
        <v>#N/A</v>
      </c>
      <c r="M97">
        <v>1</v>
      </c>
      <c r="N97" t="e">
        <f t="shared" si="6"/>
        <v>#N/A</v>
      </c>
      <c r="O97" t="str">
        <f t="shared" si="7"/>
        <v/>
      </c>
      <c r="P97" t="str">
        <f t="shared" si="8"/>
        <v/>
      </c>
      <c r="Q97" t="str">
        <f t="shared" si="9"/>
        <v/>
      </c>
      <c r="R97">
        <v>1</v>
      </c>
    </row>
    <row r="98" spans="1:18">
      <c r="A98">
        <f>'PSP Data'!A101</f>
        <v>0</v>
      </c>
      <c r="B98" t="str">
        <f>IF('PSP Data'!B101=0,"",'PSP Data'!B101)</f>
        <v/>
      </c>
      <c r="C98">
        <f>'PSP Data'!C101</f>
        <v>0</v>
      </c>
      <c r="D98">
        <f>'PSP Data'!D101</f>
        <v>0</v>
      </c>
      <c r="E98">
        <f>'PSP Data'!E101</f>
        <v>0</v>
      </c>
      <c r="F98">
        <f>'PSP Data'!F101</f>
        <v>0</v>
      </c>
      <c r="G98">
        <f>'PSP Data'!G101</f>
        <v>0</v>
      </c>
      <c r="H98">
        <f>'PSP Data'!H101</f>
        <v>0</v>
      </c>
      <c r="I98">
        <f>'PSP Data'!I101</f>
        <v>0</v>
      </c>
      <c r="J98" s="29" t="e">
        <f t="shared" si="5"/>
        <v>#N/A</v>
      </c>
      <c r="K98" s="29" t="e">
        <f>IF(AND((A98&lt;'PSP Data'!$C$11),(A98&lt;&gt;0)),Analysis!C98,#N/A)</f>
        <v>#N/A</v>
      </c>
      <c r="L98" t="e">
        <f>IF(VLOOKUP(B98,Table1[],4)=0,"unknown", VLOOKUP(B98,Table1[],4))</f>
        <v>#N/A</v>
      </c>
      <c r="M98">
        <v>1</v>
      </c>
      <c r="N98" t="e">
        <f t="shared" si="6"/>
        <v>#N/A</v>
      </c>
      <c r="O98" t="str">
        <f t="shared" si="7"/>
        <v/>
      </c>
      <c r="P98" t="str">
        <f t="shared" si="8"/>
        <v/>
      </c>
      <c r="Q98" t="str">
        <f t="shared" si="9"/>
        <v/>
      </c>
      <c r="R98">
        <v>1</v>
      </c>
    </row>
    <row r="99" spans="1:18">
      <c r="A99">
        <f>'PSP Data'!A102</f>
        <v>0</v>
      </c>
      <c r="B99" t="str">
        <f>IF('PSP Data'!B102=0,"",'PSP Data'!B102)</f>
        <v/>
      </c>
      <c r="C99">
        <f>'PSP Data'!C102</f>
        <v>0</v>
      </c>
      <c r="D99">
        <f>'PSP Data'!D102</f>
        <v>0</v>
      </c>
      <c r="E99">
        <f>'PSP Data'!E102</f>
        <v>0</v>
      </c>
      <c r="F99">
        <f>'PSP Data'!F102</f>
        <v>0</v>
      </c>
      <c r="G99">
        <f>'PSP Data'!G102</f>
        <v>0</v>
      </c>
      <c r="H99">
        <f>'PSP Data'!H102</f>
        <v>0</v>
      </c>
      <c r="I99">
        <f>'PSP Data'!I102</f>
        <v>0</v>
      </c>
      <c r="J99" s="29" t="e">
        <f t="shared" si="5"/>
        <v>#N/A</v>
      </c>
      <c r="K99" s="29" t="e">
        <f>IF(AND((A99&lt;'PSP Data'!$C$11),(A99&lt;&gt;0)),Analysis!C99,#N/A)</f>
        <v>#N/A</v>
      </c>
      <c r="L99" t="e">
        <f>IF(VLOOKUP(B99,Table1[],4)=0,"unknown", VLOOKUP(B99,Table1[],4))</f>
        <v>#N/A</v>
      </c>
      <c r="M99">
        <v>1</v>
      </c>
      <c r="N99" t="e">
        <f t="shared" si="6"/>
        <v>#N/A</v>
      </c>
      <c r="O99" t="str">
        <f t="shared" si="7"/>
        <v/>
      </c>
      <c r="P99" t="str">
        <f t="shared" si="8"/>
        <v/>
      </c>
      <c r="Q99" t="str">
        <f t="shared" si="9"/>
        <v/>
      </c>
      <c r="R99">
        <v>1</v>
      </c>
    </row>
    <row r="100" spans="1:18">
      <c r="A100">
        <f>'PSP Data'!A103</f>
        <v>0</v>
      </c>
      <c r="B100" t="str">
        <f>IF('PSP Data'!B103=0,"",'PSP Data'!B103)</f>
        <v/>
      </c>
      <c r="C100">
        <f>'PSP Data'!C103</f>
        <v>0</v>
      </c>
      <c r="D100">
        <f>'PSP Data'!D103</f>
        <v>0</v>
      </c>
      <c r="E100">
        <f>'PSP Data'!E103</f>
        <v>0</v>
      </c>
      <c r="F100">
        <f>'PSP Data'!F103</f>
        <v>0</v>
      </c>
      <c r="G100">
        <f>'PSP Data'!G103</f>
        <v>0</v>
      </c>
      <c r="H100">
        <f>'PSP Data'!H103</f>
        <v>0</v>
      </c>
      <c r="I100">
        <f>'PSP Data'!I103</f>
        <v>0</v>
      </c>
      <c r="J100" s="29" t="e">
        <f t="shared" si="5"/>
        <v>#N/A</v>
      </c>
      <c r="K100" s="29" t="e">
        <f>IF(AND((A100&lt;'PSP Data'!$C$11),(A100&lt;&gt;0)),Analysis!C100,#N/A)</f>
        <v>#N/A</v>
      </c>
      <c r="L100" t="e">
        <f>IF(VLOOKUP(B100,Table1[],4)=0,"unknown", VLOOKUP(B100,Table1[],4))</f>
        <v>#N/A</v>
      </c>
      <c r="M100">
        <v>1</v>
      </c>
      <c r="N100" t="e">
        <f t="shared" si="6"/>
        <v>#N/A</v>
      </c>
      <c r="O100" t="str">
        <f t="shared" si="7"/>
        <v/>
      </c>
      <c r="P100" t="str">
        <f t="shared" si="8"/>
        <v/>
      </c>
      <c r="Q100" t="str">
        <f t="shared" si="9"/>
        <v/>
      </c>
      <c r="R100">
        <v>1</v>
      </c>
    </row>
    <row r="101" spans="1:18">
      <c r="A101">
        <f>'PSP Data'!A104</f>
        <v>0</v>
      </c>
      <c r="B101" t="str">
        <f>IF('PSP Data'!B104=0,"",'PSP Data'!B104)</f>
        <v/>
      </c>
      <c r="C101">
        <f>'PSP Data'!C104</f>
        <v>0</v>
      </c>
      <c r="D101">
        <f>'PSP Data'!D104</f>
        <v>0</v>
      </c>
      <c r="E101">
        <f>'PSP Data'!E104</f>
        <v>0</v>
      </c>
      <c r="F101">
        <f>'PSP Data'!F104</f>
        <v>0</v>
      </c>
      <c r="G101">
        <f>'PSP Data'!G104</f>
        <v>0</v>
      </c>
      <c r="H101">
        <f>'PSP Data'!H104</f>
        <v>0</v>
      </c>
      <c r="I101">
        <f>'PSP Data'!I104</f>
        <v>0</v>
      </c>
      <c r="J101" s="29" t="e">
        <f t="shared" si="5"/>
        <v>#N/A</v>
      </c>
      <c r="K101" s="29" t="e">
        <f>IF(AND((A101&lt;'PSP Data'!$C$11),(A101&lt;&gt;0)),Analysis!C101,#N/A)</f>
        <v>#N/A</v>
      </c>
      <c r="L101" t="e">
        <f>IF(VLOOKUP(B101,Table1[],4)=0,"unknown", VLOOKUP(B101,Table1[],4))</f>
        <v>#N/A</v>
      </c>
      <c r="M101">
        <v>1</v>
      </c>
      <c r="N101" t="e">
        <f t="shared" si="6"/>
        <v>#N/A</v>
      </c>
      <c r="O101" t="str">
        <f t="shared" si="7"/>
        <v/>
      </c>
      <c r="P101" t="str">
        <f t="shared" si="8"/>
        <v/>
      </c>
      <c r="Q101" t="str">
        <f t="shared" si="9"/>
        <v/>
      </c>
      <c r="R101">
        <v>1</v>
      </c>
    </row>
    <row r="102" spans="1:18">
      <c r="A102">
        <f>'PSP Data'!A105</f>
        <v>0</v>
      </c>
      <c r="B102" t="str">
        <f>IF('PSP Data'!B105=0,"",'PSP Data'!B105)</f>
        <v/>
      </c>
      <c r="C102">
        <f>'PSP Data'!C105</f>
        <v>0</v>
      </c>
      <c r="D102">
        <f>'PSP Data'!D105</f>
        <v>0</v>
      </c>
      <c r="E102">
        <f>'PSP Data'!E105</f>
        <v>0</v>
      </c>
      <c r="F102">
        <f>'PSP Data'!F105</f>
        <v>0</v>
      </c>
      <c r="G102">
        <f>'PSP Data'!G105</f>
        <v>0</v>
      </c>
      <c r="H102">
        <f>'PSP Data'!H105</f>
        <v>0</v>
      </c>
      <c r="I102">
        <f>'PSP Data'!I105</f>
        <v>0</v>
      </c>
      <c r="J102" s="29" t="e">
        <f t="shared" si="5"/>
        <v>#N/A</v>
      </c>
      <c r="K102" s="29" t="e">
        <f>IF(AND((A102&lt;'PSP Data'!$C$11),(A102&lt;&gt;0)),Analysis!C102,#N/A)</f>
        <v>#N/A</v>
      </c>
      <c r="L102" t="e">
        <f>IF(VLOOKUP(B102,Table1[],4)=0,"unknown", VLOOKUP(B102,Table1[],4))</f>
        <v>#N/A</v>
      </c>
      <c r="M102">
        <v>1</v>
      </c>
      <c r="N102" t="e">
        <f t="shared" si="6"/>
        <v>#N/A</v>
      </c>
      <c r="O102" t="str">
        <f t="shared" si="7"/>
        <v/>
      </c>
      <c r="P102" t="str">
        <f t="shared" si="8"/>
        <v/>
      </c>
      <c r="Q102" t="str">
        <f t="shared" si="9"/>
        <v/>
      </c>
      <c r="R102">
        <v>1</v>
      </c>
    </row>
    <row r="103" spans="1:18">
      <c r="A103">
        <f>'PSP Data'!A106</f>
        <v>0</v>
      </c>
      <c r="B103" t="str">
        <f>IF('PSP Data'!B106=0,"",'PSP Data'!B106)</f>
        <v/>
      </c>
      <c r="C103">
        <f>'PSP Data'!C106</f>
        <v>0</v>
      </c>
      <c r="D103">
        <f>'PSP Data'!D106</f>
        <v>0</v>
      </c>
      <c r="E103">
        <f>'PSP Data'!E106</f>
        <v>0</v>
      </c>
      <c r="F103">
        <f>'PSP Data'!F106</f>
        <v>0</v>
      </c>
      <c r="G103">
        <f>'PSP Data'!G106</f>
        <v>0</v>
      </c>
      <c r="H103">
        <f>'PSP Data'!H106</f>
        <v>0</v>
      </c>
      <c r="I103">
        <f>'PSP Data'!I106</f>
        <v>0</v>
      </c>
      <c r="J103" s="29" t="e">
        <f t="shared" si="5"/>
        <v>#N/A</v>
      </c>
      <c r="K103" s="29" t="e">
        <f>IF(AND((A103&lt;'PSP Data'!$C$11),(A103&lt;&gt;0)),Analysis!C103,#N/A)</f>
        <v>#N/A</v>
      </c>
      <c r="L103" t="e">
        <f>IF(VLOOKUP(B103,Table1[],4)=0,"unknown", VLOOKUP(B103,Table1[],4))</f>
        <v>#N/A</v>
      </c>
      <c r="M103">
        <v>1</v>
      </c>
      <c r="N103" t="e">
        <f t="shared" si="6"/>
        <v>#N/A</v>
      </c>
      <c r="O103" t="str">
        <f t="shared" si="7"/>
        <v/>
      </c>
      <c r="P103" t="str">
        <f t="shared" si="8"/>
        <v/>
      </c>
      <c r="Q103" t="str">
        <f t="shared" si="9"/>
        <v/>
      </c>
      <c r="R103">
        <v>1</v>
      </c>
    </row>
    <row r="104" spans="1:18">
      <c r="A104">
        <f>'PSP Data'!A107</f>
        <v>0</v>
      </c>
      <c r="B104" t="str">
        <f>IF('PSP Data'!B107=0,"",'PSP Data'!B107)</f>
        <v/>
      </c>
      <c r="C104">
        <f>'PSP Data'!C107</f>
        <v>0</v>
      </c>
      <c r="D104">
        <f>'PSP Data'!D107</f>
        <v>0</v>
      </c>
      <c r="E104">
        <f>'PSP Data'!E107</f>
        <v>0</v>
      </c>
      <c r="F104">
        <f>'PSP Data'!F107</f>
        <v>0</v>
      </c>
      <c r="G104">
        <f>'PSP Data'!G107</f>
        <v>0</v>
      </c>
      <c r="H104">
        <f>'PSP Data'!H107</f>
        <v>0</v>
      </c>
      <c r="I104">
        <f>'PSP Data'!I107</f>
        <v>0</v>
      </c>
      <c r="J104" s="29" t="e">
        <f t="shared" si="5"/>
        <v>#N/A</v>
      </c>
      <c r="K104" s="29" t="e">
        <f>IF(AND((A104&lt;'PSP Data'!$C$11),(A104&lt;&gt;0)),Analysis!C104,#N/A)</f>
        <v>#N/A</v>
      </c>
      <c r="L104" t="e">
        <f>IF(VLOOKUP(B104,Table1[],4)=0,"unknown", VLOOKUP(B104,Table1[],4))</f>
        <v>#N/A</v>
      </c>
      <c r="M104">
        <v>1</v>
      </c>
      <c r="N104" t="e">
        <f t="shared" si="6"/>
        <v>#N/A</v>
      </c>
      <c r="O104" t="str">
        <f t="shared" si="7"/>
        <v/>
      </c>
      <c r="P104" t="str">
        <f t="shared" si="8"/>
        <v/>
      </c>
      <c r="Q104" t="str">
        <f t="shared" si="9"/>
        <v/>
      </c>
      <c r="R104">
        <v>1</v>
      </c>
    </row>
    <row r="105" spans="1:18">
      <c r="A105">
        <f>'PSP Data'!A108</f>
        <v>0</v>
      </c>
      <c r="B105" t="str">
        <f>IF('PSP Data'!B108=0,"",'PSP Data'!B108)</f>
        <v/>
      </c>
      <c r="C105">
        <f>'PSP Data'!C108</f>
        <v>0</v>
      </c>
      <c r="D105">
        <f>'PSP Data'!D108</f>
        <v>0</v>
      </c>
      <c r="E105">
        <f>'PSP Data'!E108</f>
        <v>0</v>
      </c>
      <c r="F105">
        <f>'PSP Data'!F108</f>
        <v>0</v>
      </c>
      <c r="G105">
        <f>'PSP Data'!G108</f>
        <v>0</v>
      </c>
      <c r="H105">
        <f>'PSP Data'!H108</f>
        <v>0</v>
      </c>
      <c r="I105">
        <f>'PSP Data'!I108</f>
        <v>0</v>
      </c>
      <c r="J105" s="29" t="e">
        <f t="shared" si="5"/>
        <v>#N/A</v>
      </c>
      <c r="K105" s="29" t="e">
        <f>IF(AND((A105&lt;'PSP Data'!$C$11),(A105&lt;&gt;0)),Analysis!C105,#N/A)</f>
        <v>#N/A</v>
      </c>
      <c r="L105" t="e">
        <f>IF(VLOOKUP(B105,Table1[],4)=0,"unknown", VLOOKUP(B105,Table1[],4))</f>
        <v>#N/A</v>
      </c>
      <c r="M105">
        <v>1</v>
      </c>
      <c r="N105" t="e">
        <f t="shared" si="6"/>
        <v>#N/A</v>
      </c>
      <c r="O105" t="str">
        <f t="shared" si="7"/>
        <v/>
      </c>
      <c r="P105" t="str">
        <f t="shared" si="8"/>
        <v/>
      </c>
      <c r="Q105" t="str">
        <f t="shared" si="9"/>
        <v/>
      </c>
      <c r="R105">
        <v>1</v>
      </c>
    </row>
    <row r="106" spans="1:18">
      <c r="A106">
        <f>'PSP Data'!A109</f>
        <v>0</v>
      </c>
      <c r="B106" t="str">
        <f>IF('PSP Data'!B109=0,"",'PSP Data'!B109)</f>
        <v/>
      </c>
      <c r="C106">
        <f>'PSP Data'!C109</f>
        <v>0</v>
      </c>
      <c r="D106">
        <f>'PSP Data'!D109</f>
        <v>0</v>
      </c>
      <c r="E106">
        <f>'PSP Data'!E109</f>
        <v>0</v>
      </c>
      <c r="F106">
        <f>'PSP Data'!F109</f>
        <v>0</v>
      </c>
      <c r="G106">
        <f>'PSP Data'!G109</f>
        <v>0</v>
      </c>
      <c r="H106">
        <f>'PSP Data'!H109</f>
        <v>0</v>
      </c>
      <c r="I106">
        <f>'PSP Data'!I109</f>
        <v>0</v>
      </c>
      <c r="J106" s="29" t="e">
        <f t="shared" si="5"/>
        <v>#N/A</v>
      </c>
      <c r="K106" s="29" t="e">
        <f>IF(AND((A106&lt;'PSP Data'!$C$11),(A106&lt;&gt;0)),Analysis!C106,#N/A)</f>
        <v>#N/A</v>
      </c>
      <c r="L106" t="e">
        <f>IF(VLOOKUP(B106,Table1[],4)=0,"unknown", VLOOKUP(B106,Table1[],4))</f>
        <v>#N/A</v>
      </c>
      <c r="M106">
        <v>1</v>
      </c>
      <c r="N106" t="e">
        <f t="shared" si="6"/>
        <v>#N/A</v>
      </c>
      <c r="O106" t="str">
        <f t="shared" si="7"/>
        <v/>
      </c>
      <c r="P106" t="str">
        <f t="shared" si="8"/>
        <v/>
      </c>
      <c r="Q106" t="str">
        <f t="shared" si="9"/>
        <v/>
      </c>
      <c r="R106">
        <v>1</v>
      </c>
    </row>
    <row r="107" spans="1:18">
      <c r="A107">
        <f>'PSP Data'!A110</f>
        <v>0</v>
      </c>
      <c r="B107" t="str">
        <f>IF('PSP Data'!B110=0,"",'PSP Data'!B110)</f>
        <v/>
      </c>
      <c r="C107">
        <f>'PSP Data'!C110</f>
        <v>0</v>
      </c>
      <c r="D107">
        <f>'PSP Data'!D110</f>
        <v>0</v>
      </c>
      <c r="E107">
        <f>'PSP Data'!E110</f>
        <v>0</v>
      </c>
      <c r="F107">
        <f>'PSP Data'!F110</f>
        <v>0</v>
      </c>
      <c r="G107">
        <f>'PSP Data'!G110</f>
        <v>0</v>
      </c>
      <c r="H107">
        <f>'PSP Data'!H110</f>
        <v>0</v>
      </c>
      <c r="I107">
        <f>'PSP Data'!I110</f>
        <v>0</v>
      </c>
      <c r="J107" s="29" t="e">
        <f t="shared" si="5"/>
        <v>#N/A</v>
      </c>
      <c r="K107" s="29" t="e">
        <f>IF(AND((A107&lt;'PSP Data'!$C$11),(A107&lt;&gt;0)),Analysis!C107,#N/A)</f>
        <v>#N/A</v>
      </c>
      <c r="L107" t="e">
        <f>IF(VLOOKUP(B107,Table1[],4)=0,"unknown", VLOOKUP(B107,Table1[],4))</f>
        <v>#N/A</v>
      </c>
      <c r="M107">
        <v>1</v>
      </c>
      <c r="N107" t="e">
        <f t="shared" si="6"/>
        <v>#N/A</v>
      </c>
      <c r="O107" t="str">
        <f t="shared" si="7"/>
        <v/>
      </c>
      <c r="P107" t="str">
        <f t="shared" si="8"/>
        <v/>
      </c>
      <c r="Q107" t="str">
        <f t="shared" si="9"/>
        <v/>
      </c>
      <c r="R107">
        <v>1</v>
      </c>
    </row>
    <row r="108" spans="1:18">
      <c r="A108">
        <f>'PSP Data'!A111</f>
        <v>0</v>
      </c>
      <c r="B108" t="str">
        <f>IF('PSP Data'!B111=0,"",'PSP Data'!B111)</f>
        <v/>
      </c>
      <c r="C108">
        <f>'PSP Data'!C111</f>
        <v>0</v>
      </c>
      <c r="D108">
        <f>'PSP Data'!D111</f>
        <v>0</v>
      </c>
      <c r="E108">
        <f>'PSP Data'!E111</f>
        <v>0</v>
      </c>
      <c r="F108">
        <f>'PSP Data'!F111</f>
        <v>0</v>
      </c>
      <c r="G108">
        <f>'PSP Data'!G111</f>
        <v>0</v>
      </c>
      <c r="H108">
        <f>'PSP Data'!H111</f>
        <v>0</v>
      </c>
      <c r="I108">
        <f>'PSP Data'!I111</f>
        <v>0</v>
      </c>
      <c r="J108" s="29" t="e">
        <f t="shared" si="5"/>
        <v>#N/A</v>
      </c>
      <c r="K108" s="29" t="e">
        <f>IF(AND((A108&lt;'PSP Data'!$C$11),(A108&lt;&gt;0)),Analysis!C108,#N/A)</f>
        <v>#N/A</v>
      </c>
      <c r="L108" t="e">
        <f>IF(VLOOKUP(B108,Table1[],4)=0,"unknown", VLOOKUP(B108,Table1[],4))</f>
        <v>#N/A</v>
      </c>
      <c r="M108">
        <v>1</v>
      </c>
      <c r="N108" t="e">
        <f t="shared" si="6"/>
        <v>#N/A</v>
      </c>
      <c r="O108" t="str">
        <f t="shared" si="7"/>
        <v/>
      </c>
      <c r="P108" t="str">
        <f t="shared" si="8"/>
        <v/>
      </c>
      <c r="Q108" t="str">
        <f t="shared" si="9"/>
        <v/>
      </c>
      <c r="R108">
        <v>1</v>
      </c>
    </row>
    <row r="109" spans="1:18">
      <c r="A109">
        <f>'PSP Data'!A112</f>
        <v>0</v>
      </c>
      <c r="B109" t="str">
        <f>IF('PSP Data'!B112=0,"",'PSP Data'!B112)</f>
        <v/>
      </c>
      <c r="C109">
        <f>'PSP Data'!C112</f>
        <v>0</v>
      </c>
      <c r="D109">
        <f>'PSP Data'!D112</f>
        <v>0</v>
      </c>
      <c r="E109">
        <f>'PSP Data'!E112</f>
        <v>0</v>
      </c>
      <c r="F109">
        <f>'PSP Data'!F112</f>
        <v>0</v>
      </c>
      <c r="G109">
        <f>'PSP Data'!G112</f>
        <v>0</v>
      </c>
      <c r="H109">
        <f>'PSP Data'!H112</f>
        <v>0</v>
      </c>
      <c r="I109">
        <f>'PSP Data'!I112</f>
        <v>0</v>
      </c>
      <c r="J109" s="29" t="e">
        <f t="shared" si="5"/>
        <v>#N/A</v>
      </c>
      <c r="K109" s="29" t="e">
        <f>IF(AND((A109&lt;'PSP Data'!$C$11),(A109&lt;&gt;0)),Analysis!C109,#N/A)</f>
        <v>#N/A</v>
      </c>
      <c r="L109" t="e">
        <f>IF(VLOOKUP(B109,Table1[],4)=0,"unknown", VLOOKUP(B109,Table1[],4))</f>
        <v>#N/A</v>
      </c>
      <c r="M109">
        <v>1</v>
      </c>
      <c r="N109" t="e">
        <f t="shared" si="6"/>
        <v>#N/A</v>
      </c>
      <c r="O109" t="str">
        <f t="shared" si="7"/>
        <v/>
      </c>
      <c r="P109" t="str">
        <f t="shared" si="8"/>
        <v/>
      </c>
      <c r="Q109" t="str">
        <f t="shared" si="9"/>
        <v/>
      </c>
      <c r="R109">
        <v>1</v>
      </c>
    </row>
    <row r="110" spans="1:18">
      <c r="A110">
        <f>'PSP Data'!A113</f>
        <v>0</v>
      </c>
      <c r="B110" t="str">
        <f>IF('PSP Data'!B113=0,"",'PSP Data'!B113)</f>
        <v/>
      </c>
      <c r="C110">
        <f>'PSP Data'!C113</f>
        <v>0</v>
      </c>
      <c r="D110">
        <f>'PSP Data'!D113</f>
        <v>0</v>
      </c>
      <c r="E110">
        <f>'PSP Data'!E113</f>
        <v>0</v>
      </c>
      <c r="F110">
        <f>'PSP Data'!F113</f>
        <v>0</v>
      </c>
      <c r="G110">
        <f>'PSP Data'!G113</f>
        <v>0</v>
      </c>
      <c r="H110">
        <f>'PSP Data'!H113</f>
        <v>0</v>
      </c>
      <c r="I110">
        <f>'PSP Data'!I113</f>
        <v>0</v>
      </c>
      <c r="J110" s="29" t="e">
        <f t="shared" si="5"/>
        <v>#N/A</v>
      </c>
      <c r="K110" s="29" t="e">
        <f>IF(AND((A110&lt;'PSP Data'!$C$11),(A110&lt;&gt;0)),Analysis!C110,#N/A)</f>
        <v>#N/A</v>
      </c>
      <c r="L110" t="e">
        <f>IF(VLOOKUP(B110,Table1[],4)=0,"unknown", VLOOKUP(B110,Table1[],4))</f>
        <v>#N/A</v>
      </c>
      <c r="M110">
        <v>1</v>
      </c>
      <c r="N110" t="e">
        <f t="shared" si="6"/>
        <v>#N/A</v>
      </c>
      <c r="O110" t="str">
        <f t="shared" si="7"/>
        <v/>
      </c>
      <c r="P110" t="str">
        <f t="shared" si="8"/>
        <v/>
      </c>
      <c r="Q110" t="str">
        <f t="shared" si="9"/>
        <v/>
      </c>
      <c r="R110">
        <v>1</v>
      </c>
    </row>
    <row r="111" spans="1:18">
      <c r="A111">
        <f>'PSP Data'!A114</f>
        <v>0</v>
      </c>
      <c r="B111" t="str">
        <f>IF('PSP Data'!B114=0,"",'PSP Data'!B114)</f>
        <v/>
      </c>
      <c r="C111">
        <f>'PSP Data'!C114</f>
        <v>0</v>
      </c>
      <c r="D111">
        <f>'PSP Data'!D114</f>
        <v>0</v>
      </c>
      <c r="E111">
        <f>'PSP Data'!E114</f>
        <v>0</v>
      </c>
      <c r="F111">
        <f>'PSP Data'!F114</f>
        <v>0</v>
      </c>
      <c r="G111">
        <f>'PSP Data'!G114</f>
        <v>0</v>
      </c>
      <c r="H111">
        <f>'PSP Data'!H114</f>
        <v>0</v>
      </c>
      <c r="I111">
        <f>'PSP Data'!I114</f>
        <v>0</v>
      </c>
      <c r="J111" s="29" t="e">
        <f t="shared" si="5"/>
        <v>#N/A</v>
      </c>
      <c r="K111" s="29" t="e">
        <f>IF(AND((A111&lt;'PSP Data'!$C$11),(A111&lt;&gt;0)),Analysis!C111,#N/A)</f>
        <v>#N/A</v>
      </c>
      <c r="L111" t="e">
        <f>IF(VLOOKUP(B111,Table1[],4)=0,"unknown", VLOOKUP(B111,Table1[],4))</f>
        <v>#N/A</v>
      </c>
      <c r="M111">
        <v>1</v>
      </c>
      <c r="N111" t="e">
        <f t="shared" si="6"/>
        <v>#N/A</v>
      </c>
      <c r="O111" t="str">
        <f t="shared" si="7"/>
        <v/>
      </c>
      <c r="P111" t="str">
        <f t="shared" si="8"/>
        <v/>
      </c>
      <c r="Q111" t="str">
        <f t="shared" si="9"/>
        <v/>
      </c>
      <c r="R111">
        <v>1</v>
      </c>
    </row>
    <row r="112" spans="1:18">
      <c r="A112">
        <f>'PSP Data'!A115</f>
        <v>0</v>
      </c>
      <c r="B112" t="str">
        <f>IF('PSP Data'!B115=0,"",'PSP Data'!B115)</f>
        <v/>
      </c>
      <c r="C112">
        <f>'PSP Data'!C115</f>
        <v>0</v>
      </c>
      <c r="D112">
        <f>'PSP Data'!D115</f>
        <v>0</v>
      </c>
      <c r="E112">
        <f>'PSP Data'!E115</f>
        <v>0</v>
      </c>
      <c r="F112">
        <f>'PSP Data'!F115</f>
        <v>0</v>
      </c>
      <c r="G112">
        <f>'PSP Data'!G115</f>
        <v>0</v>
      </c>
      <c r="H112">
        <f>'PSP Data'!H115</f>
        <v>0</v>
      </c>
      <c r="I112">
        <f>'PSP Data'!I115</f>
        <v>0</v>
      </c>
      <c r="J112" s="29" t="e">
        <f t="shared" si="5"/>
        <v>#N/A</v>
      </c>
      <c r="K112" s="29" t="e">
        <f>IF(AND((A112&lt;'PSP Data'!$C$11),(A112&lt;&gt;0)),Analysis!C112,#N/A)</f>
        <v>#N/A</v>
      </c>
      <c r="L112" t="e">
        <f>IF(VLOOKUP(B112,Table1[],4)=0,"unknown", VLOOKUP(B112,Table1[],4))</f>
        <v>#N/A</v>
      </c>
      <c r="M112">
        <v>1</v>
      </c>
      <c r="N112" t="e">
        <f t="shared" si="6"/>
        <v>#N/A</v>
      </c>
      <c r="O112" t="str">
        <f t="shared" si="7"/>
        <v/>
      </c>
      <c r="P112" t="str">
        <f t="shared" si="8"/>
        <v/>
      </c>
      <c r="Q112" t="str">
        <f t="shared" si="9"/>
        <v/>
      </c>
      <c r="R112">
        <v>1</v>
      </c>
    </row>
    <row r="113" spans="1:18">
      <c r="A113">
        <f>'PSP Data'!A116</f>
        <v>0</v>
      </c>
      <c r="B113" t="str">
        <f>IF('PSP Data'!B116=0,"",'PSP Data'!B116)</f>
        <v/>
      </c>
      <c r="C113">
        <f>'PSP Data'!C116</f>
        <v>0</v>
      </c>
      <c r="D113">
        <f>'PSP Data'!D116</f>
        <v>0</v>
      </c>
      <c r="E113">
        <f>'PSP Data'!E116</f>
        <v>0</v>
      </c>
      <c r="F113">
        <f>'PSP Data'!F116</f>
        <v>0</v>
      </c>
      <c r="G113">
        <f>'PSP Data'!G116</f>
        <v>0</v>
      </c>
      <c r="H113">
        <f>'PSP Data'!H116</f>
        <v>0</v>
      </c>
      <c r="I113">
        <f>'PSP Data'!I116</f>
        <v>0</v>
      </c>
      <c r="J113" s="29" t="e">
        <f t="shared" si="5"/>
        <v>#N/A</v>
      </c>
      <c r="K113" s="29" t="e">
        <f>IF(AND((A113&lt;'PSP Data'!$C$11),(A113&lt;&gt;0)),Analysis!C113,#N/A)</f>
        <v>#N/A</v>
      </c>
      <c r="L113" t="e">
        <f>IF(VLOOKUP(B113,Table1[],4)=0,"unknown", VLOOKUP(B113,Table1[],4))</f>
        <v>#N/A</v>
      </c>
      <c r="M113">
        <v>1</v>
      </c>
      <c r="N113" t="e">
        <f t="shared" si="6"/>
        <v>#N/A</v>
      </c>
      <c r="O113" t="str">
        <f t="shared" si="7"/>
        <v/>
      </c>
      <c r="P113" t="str">
        <f t="shared" si="8"/>
        <v/>
      </c>
      <c r="Q113" t="str">
        <f t="shared" si="9"/>
        <v/>
      </c>
      <c r="R113">
        <v>1</v>
      </c>
    </row>
    <row r="114" spans="1:18">
      <c r="A114">
        <f>'PSP Data'!A117</f>
        <v>0</v>
      </c>
      <c r="B114" t="str">
        <f>IF('PSP Data'!B117=0,"",'PSP Data'!B117)</f>
        <v/>
      </c>
      <c r="C114">
        <f>'PSP Data'!C117</f>
        <v>0</v>
      </c>
      <c r="D114">
        <f>'PSP Data'!D117</f>
        <v>0</v>
      </c>
      <c r="E114">
        <f>'PSP Data'!E117</f>
        <v>0</v>
      </c>
      <c r="F114">
        <f>'PSP Data'!F117</f>
        <v>0</v>
      </c>
      <c r="G114">
        <f>'PSP Data'!G117</f>
        <v>0</v>
      </c>
      <c r="H114">
        <f>'PSP Data'!H117</f>
        <v>0</v>
      </c>
      <c r="I114">
        <f>'PSP Data'!I117</f>
        <v>0</v>
      </c>
      <c r="J114" s="29" t="e">
        <f t="shared" si="5"/>
        <v>#N/A</v>
      </c>
      <c r="K114" s="29" t="e">
        <f>IF(AND((A114&lt;'PSP Data'!$C$11),(A114&lt;&gt;0)),Analysis!C114,#N/A)</f>
        <v>#N/A</v>
      </c>
      <c r="L114" t="e">
        <f>IF(VLOOKUP(B114,Table1[],4)=0,"unknown", VLOOKUP(B114,Table1[],4))</f>
        <v>#N/A</v>
      </c>
      <c r="M114">
        <v>1</v>
      </c>
      <c r="N114" t="e">
        <f t="shared" si="6"/>
        <v>#N/A</v>
      </c>
      <c r="O114" t="str">
        <f t="shared" si="7"/>
        <v/>
      </c>
      <c r="P114" t="str">
        <f t="shared" si="8"/>
        <v/>
      </c>
      <c r="Q114" t="str">
        <f t="shared" si="9"/>
        <v/>
      </c>
      <c r="R114">
        <v>1</v>
      </c>
    </row>
    <row r="115" spans="1:18">
      <c r="A115">
        <f>'PSP Data'!A118</f>
        <v>0</v>
      </c>
      <c r="B115" t="str">
        <f>IF('PSP Data'!B118=0,"",'PSP Data'!B118)</f>
        <v/>
      </c>
      <c r="C115">
        <f>'PSP Data'!C118</f>
        <v>0</v>
      </c>
      <c r="D115">
        <f>'PSP Data'!D118</f>
        <v>0</v>
      </c>
      <c r="E115">
        <f>'PSP Data'!E118</f>
        <v>0</v>
      </c>
      <c r="F115">
        <f>'PSP Data'!F118</f>
        <v>0</v>
      </c>
      <c r="G115">
        <f>'PSP Data'!G118</f>
        <v>0</v>
      </c>
      <c r="H115">
        <f>'PSP Data'!H118</f>
        <v>0</v>
      </c>
      <c r="I115">
        <f>'PSP Data'!I118</f>
        <v>0</v>
      </c>
      <c r="J115" s="29" t="e">
        <f t="shared" si="5"/>
        <v>#N/A</v>
      </c>
      <c r="K115" s="29" t="e">
        <f>IF(AND((A115&lt;'PSP Data'!$C$11),(A115&lt;&gt;0)),Analysis!C115,#N/A)</f>
        <v>#N/A</v>
      </c>
      <c r="L115" t="e">
        <f>IF(VLOOKUP(B115,Table1[],4)=0,"unknown", VLOOKUP(B115,Table1[],4))</f>
        <v>#N/A</v>
      </c>
      <c r="M115">
        <v>1</v>
      </c>
      <c r="N115" t="e">
        <f t="shared" si="6"/>
        <v>#N/A</v>
      </c>
      <c r="O115" t="str">
        <f t="shared" si="7"/>
        <v/>
      </c>
      <c r="P115" t="str">
        <f t="shared" si="8"/>
        <v/>
      </c>
      <c r="Q115" t="str">
        <f t="shared" si="9"/>
        <v/>
      </c>
      <c r="R115">
        <v>1</v>
      </c>
    </row>
    <row r="116" spans="1:18">
      <c r="A116">
        <f>'PSP Data'!A119</f>
        <v>0</v>
      </c>
      <c r="B116" t="str">
        <f>IF('PSP Data'!B119=0,"",'PSP Data'!B119)</f>
        <v/>
      </c>
      <c r="C116">
        <f>'PSP Data'!C119</f>
        <v>0</v>
      </c>
      <c r="D116">
        <f>'PSP Data'!D119</f>
        <v>0</v>
      </c>
      <c r="E116">
        <f>'PSP Data'!E119</f>
        <v>0</v>
      </c>
      <c r="F116">
        <f>'PSP Data'!F119</f>
        <v>0</v>
      </c>
      <c r="G116">
        <f>'PSP Data'!G119</f>
        <v>0</v>
      </c>
      <c r="H116">
        <f>'PSP Data'!H119</f>
        <v>0</v>
      </c>
      <c r="I116">
        <f>'PSP Data'!I119</f>
        <v>0</v>
      </c>
      <c r="J116" s="29" t="e">
        <f t="shared" si="5"/>
        <v>#N/A</v>
      </c>
      <c r="K116" s="29" t="e">
        <f>IF(AND((A116&lt;'PSP Data'!$C$11),(A116&lt;&gt;0)),Analysis!C116,#N/A)</f>
        <v>#N/A</v>
      </c>
      <c r="L116" t="e">
        <f>IF(VLOOKUP(B116,Table1[],4)=0,"unknown", VLOOKUP(B116,Table1[],4))</f>
        <v>#N/A</v>
      </c>
      <c r="M116">
        <v>1</v>
      </c>
      <c r="N116" t="e">
        <f t="shared" si="6"/>
        <v>#N/A</v>
      </c>
      <c r="O116" t="str">
        <f t="shared" si="7"/>
        <v/>
      </c>
      <c r="P116" t="str">
        <f t="shared" si="8"/>
        <v/>
      </c>
      <c r="Q116" t="str">
        <f t="shared" si="9"/>
        <v/>
      </c>
      <c r="R116">
        <v>1</v>
      </c>
    </row>
    <row r="117" spans="1:18">
      <c r="A117">
        <f>'PSP Data'!A120</f>
        <v>0</v>
      </c>
      <c r="B117" t="str">
        <f>IF('PSP Data'!B120=0,"",'PSP Data'!B120)</f>
        <v/>
      </c>
      <c r="C117">
        <f>'PSP Data'!C120</f>
        <v>0</v>
      </c>
      <c r="D117">
        <f>'PSP Data'!D120</f>
        <v>0</v>
      </c>
      <c r="E117">
        <f>'PSP Data'!E120</f>
        <v>0</v>
      </c>
      <c r="F117">
        <f>'PSP Data'!F120</f>
        <v>0</v>
      </c>
      <c r="G117">
        <f>'PSP Data'!G120</f>
        <v>0</v>
      </c>
      <c r="H117">
        <f>'PSP Data'!H120</f>
        <v>0</v>
      </c>
      <c r="I117">
        <f>'PSP Data'!I120</f>
        <v>0</v>
      </c>
      <c r="J117" s="29" t="e">
        <f t="shared" si="5"/>
        <v>#N/A</v>
      </c>
      <c r="K117" s="29" t="e">
        <f>IF(AND((A117&lt;'PSP Data'!$C$11),(A117&lt;&gt;0)),Analysis!C117,#N/A)</f>
        <v>#N/A</v>
      </c>
      <c r="L117" t="e">
        <f>IF(VLOOKUP(B117,Table1[],4)=0,"unknown", VLOOKUP(B117,Table1[],4))</f>
        <v>#N/A</v>
      </c>
      <c r="M117">
        <v>1</v>
      </c>
      <c r="N117" t="e">
        <f t="shared" si="6"/>
        <v>#N/A</v>
      </c>
      <c r="O117" t="str">
        <f t="shared" si="7"/>
        <v/>
      </c>
      <c r="P117" t="str">
        <f t="shared" si="8"/>
        <v/>
      </c>
      <c r="Q117" t="str">
        <f t="shared" si="9"/>
        <v/>
      </c>
      <c r="R117">
        <v>1</v>
      </c>
    </row>
    <row r="118" spans="1:18">
      <c r="A118">
        <f>'PSP Data'!A121</f>
        <v>0</v>
      </c>
      <c r="B118" t="str">
        <f>IF('PSP Data'!B121=0,"",'PSP Data'!B121)</f>
        <v/>
      </c>
      <c r="C118">
        <f>'PSP Data'!C121</f>
        <v>0</v>
      </c>
      <c r="D118">
        <f>'PSP Data'!D121</f>
        <v>0</v>
      </c>
      <c r="E118">
        <f>'PSP Data'!E121</f>
        <v>0</v>
      </c>
      <c r="F118">
        <f>'PSP Data'!F121</f>
        <v>0</v>
      </c>
      <c r="G118">
        <f>'PSP Data'!G121</f>
        <v>0</v>
      </c>
      <c r="H118">
        <f>'PSP Data'!H121</f>
        <v>0</v>
      </c>
      <c r="I118">
        <f>'PSP Data'!I121</f>
        <v>0</v>
      </c>
      <c r="J118" s="29" t="e">
        <f t="shared" si="5"/>
        <v>#N/A</v>
      </c>
      <c r="K118" s="29" t="e">
        <f>IF(AND((A118&lt;'PSP Data'!$C$11),(A118&lt;&gt;0)),Analysis!C118,#N/A)</f>
        <v>#N/A</v>
      </c>
      <c r="L118" t="e">
        <f>IF(VLOOKUP(B118,Table1[],4)=0,"unknown", VLOOKUP(B118,Table1[],4))</f>
        <v>#N/A</v>
      </c>
      <c r="M118">
        <v>1</v>
      </c>
      <c r="N118" t="e">
        <f t="shared" si="6"/>
        <v>#N/A</v>
      </c>
      <c r="O118" t="str">
        <f t="shared" si="7"/>
        <v/>
      </c>
      <c r="P118" t="str">
        <f t="shared" si="8"/>
        <v/>
      </c>
      <c r="Q118" t="str">
        <f t="shared" si="9"/>
        <v/>
      </c>
      <c r="R118">
        <v>1</v>
      </c>
    </row>
    <row r="119" spans="1:18">
      <c r="A119">
        <f>'PSP Data'!A122</f>
        <v>0</v>
      </c>
      <c r="B119" t="str">
        <f>IF('PSP Data'!B122=0,"",'PSP Data'!B122)</f>
        <v/>
      </c>
      <c r="C119">
        <f>'PSP Data'!C122</f>
        <v>0</v>
      </c>
      <c r="D119">
        <f>'PSP Data'!D122</f>
        <v>0</v>
      </c>
      <c r="E119">
        <f>'PSP Data'!E122</f>
        <v>0</v>
      </c>
      <c r="F119">
        <f>'PSP Data'!F122</f>
        <v>0</v>
      </c>
      <c r="G119">
        <f>'PSP Data'!G122</f>
        <v>0</v>
      </c>
      <c r="H119">
        <f>'PSP Data'!H122</f>
        <v>0</v>
      </c>
      <c r="I119">
        <f>'PSP Data'!I122</f>
        <v>0</v>
      </c>
      <c r="J119" s="29" t="e">
        <f t="shared" si="5"/>
        <v>#N/A</v>
      </c>
      <c r="K119" s="29" t="e">
        <f>IF(AND((A119&lt;'PSP Data'!$C$11),(A119&lt;&gt;0)),Analysis!C119,#N/A)</f>
        <v>#N/A</v>
      </c>
      <c r="L119" t="e">
        <f>IF(VLOOKUP(B119,Table1[],4)=0,"unknown", VLOOKUP(B119,Table1[],4))</f>
        <v>#N/A</v>
      </c>
      <c r="M119">
        <v>1</v>
      </c>
      <c r="N119" t="e">
        <f t="shared" si="6"/>
        <v>#N/A</v>
      </c>
      <c r="O119" t="str">
        <f t="shared" si="7"/>
        <v/>
      </c>
      <c r="P119" t="str">
        <f t="shared" si="8"/>
        <v/>
      </c>
      <c r="Q119" t="str">
        <f t="shared" si="9"/>
        <v/>
      </c>
      <c r="R119">
        <v>1</v>
      </c>
    </row>
    <row r="120" spans="1:18">
      <c r="A120">
        <f>'PSP Data'!A123</f>
        <v>0</v>
      </c>
      <c r="B120" t="str">
        <f>IF('PSP Data'!B123=0,"",'PSP Data'!B123)</f>
        <v/>
      </c>
      <c r="C120">
        <f>'PSP Data'!C123</f>
        <v>0</v>
      </c>
      <c r="D120">
        <f>'PSP Data'!D123</f>
        <v>0</v>
      </c>
      <c r="E120">
        <f>'PSP Data'!E123</f>
        <v>0</v>
      </c>
      <c r="F120">
        <f>'PSP Data'!F123</f>
        <v>0</v>
      </c>
      <c r="G120">
        <f>'PSP Data'!G123</f>
        <v>0</v>
      </c>
      <c r="H120">
        <f>'PSP Data'!H123</f>
        <v>0</v>
      </c>
      <c r="I120">
        <f>'PSP Data'!I123</f>
        <v>0</v>
      </c>
      <c r="J120" s="29" t="e">
        <f t="shared" si="5"/>
        <v>#N/A</v>
      </c>
      <c r="K120" s="29" t="e">
        <f>IF(AND((A120&lt;'PSP Data'!$C$11),(A120&lt;&gt;0)),Analysis!C120,#N/A)</f>
        <v>#N/A</v>
      </c>
      <c r="L120" t="e">
        <f>IF(VLOOKUP(B120,Table1[],4)=0,"unknown", VLOOKUP(B120,Table1[],4))</f>
        <v>#N/A</v>
      </c>
      <c r="M120">
        <v>1</v>
      </c>
      <c r="N120" t="e">
        <f t="shared" si="6"/>
        <v>#N/A</v>
      </c>
      <c r="O120" t="str">
        <f t="shared" si="7"/>
        <v/>
      </c>
      <c r="P120" t="str">
        <f t="shared" si="8"/>
        <v/>
      </c>
      <c r="Q120" t="str">
        <f t="shared" si="9"/>
        <v/>
      </c>
      <c r="R120">
        <v>1</v>
      </c>
    </row>
    <row r="121" spans="1:18">
      <c r="A121">
        <f>'PSP Data'!A124</f>
        <v>0</v>
      </c>
      <c r="B121" t="str">
        <f>IF('PSP Data'!B124=0,"",'PSP Data'!B124)</f>
        <v/>
      </c>
      <c r="C121">
        <f>'PSP Data'!C124</f>
        <v>0</v>
      </c>
      <c r="D121">
        <f>'PSP Data'!D124</f>
        <v>0</v>
      </c>
      <c r="E121">
        <f>'PSP Data'!E124</f>
        <v>0</v>
      </c>
      <c r="F121">
        <f>'PSP Data'!F124</f>
        <v>0</v>
      </c>
      <c r="G121">
        <f>'PSP Data'!G124</f>
        <v>0</v>
      </c>
      <c r="H121">
        <f>'PSP Data'!H124</f>
        <v>0</v>
      </c>
      <c r="I121">
        <f>'PSP Data'!I124</f>
        <v>0</v>
      </c>
      <c r="J121" s="29" t="e">
        <f t="shared" si="5"/>
        <v>#N/A</v>
      </c>
      <c r="K121" s="29" t="e">
        <f>IF(AND((A121&lt;'PSP Data'!$C$11),(A121&lt;&gt;0)),Analysis!C121,#N/A)</f>
        <v>#N/A</v>
      </c>
      <c r="L121" t="e">
        <f>IF(VLOOKUP(B121,Table1[],4)=0,"unknown", VLOOKUP(B121,Table1[],4))</f>
        <v>#N/A</v>
      </c>
      <c r="M121">
        <v>1</v>
      </c>
      <c r="N121" t="e">
        <f t="shared" si="6"/>
        <v>#N/A</v>
      </c>
      <c r="O121" t="str">
        <f t="shared" si="7"/>
        <v/>
      </c>
      <c r="P121" t="str">
        <f t="shared" si="8"/>
        <v/>
      </c>
      <c r="Q121" t="str">
        <f t="shared" si="9"/>
        <v/>
      </c>
      <c r="R121">
        <v>1</v>
      </c>
    </row>
    <row r="122" spans="1:18">
      <c r="A122">
        <f>'PSP Data'!A125</f>
        <v>0</v>
      </c>
      <c r="B122" t="str">
        <f>IF('PSP Data'!B125=0,"",'PSP Data'!B125)</f>
        <v/>
      </c>
      <c r="C122">
        <f>'PSP Data'!C125</f>
        <v>0</v>
      </c>
      <c r="D122">
        <f>'PSP Data'!D125</f>
        <v>0</v>
      </c>
      <c r="E122">
        <f>'PSP Data'!E125</f>
        <v>0</v>
      </c>
      <c r="F122">
        <f>'PSP Data'!F125</f>
        <v>0</v>
      </c>
      <c r="G122">
        <f>'PSP Data'!G125</f>
        <v>0</v>
      </c>
      <c r="H122">
        <f>'PSP Data'!H125</f>
        <v>0</v>
      </c>
      <c r="I122">
        <f>'PSP Data'!I125</f>
        <v>0</v>
      </c>
      <c r="J122" s="29" t="e">
        <f t="shared" si="5"/>
        <v>#N/A</v>
      </c>
      <c r="K122" s="29" t="e">
        <f>IF(AND((A122&lt;'PSP Data'!$C$11),(A122&lt;&gt;0)),Analysis!C122,#N/A)</f>
        <v>#N/A</v>
      </c>
      <c r="L122" t="e">
        <f>IF(VLOOKUP(B122,Table1[],4)=0,"unknown", VLOOKUP(B122,Table1[],4))</f>
        <v>#N/A</v>
      </c>
      <c r="M122">
        <v>1</v>
      </c>
      <c r="N122" t="e">
        <f t="shared" si="6"/>
        <v>#N/A</v>
      </c>
      <c r="O122" t="str">
        <f t="shared" si="7"/>
        <v/>
      </c>
      <c r="P122" t="str">
        <f t="shared" si="8"/>
        <v/>
      </c>
      <c r="Q122" t="str">
        <f t="shared" si="9"/>
        <v/>
      </c>
      <c r="R122">
        <v>1</v>
      </c>
    </row>
    <row r="123" spans="1:18">
      <c r="A123">
        <f>'PSP Data'!A126</f>
        <v>0</v>
      </c>
      <c r="B123" t="str">
        <f>IF('PSP Data'!B126=0,"",'PSP Data'!B126)</f>
        <v/>
      </c>
      <c r="C123">
        <f>'PSP Data'!C126</f>
        <v>0</v>
      </c>
      <c r="D123">
        <f>'PSP Data'!D126</f>
        <v>0</v>
      </c>
      <c r="E123">
        <f>'PSP Data'!E126</f>
        <v>0</v>
      </c>
      <c r="F123">
        <f>'PSP Data'!F126</f>
        <v>0</v>
      </c>
      <c r="G123">
        <f>'PSP Data'!G126</f>
        <v>0</v>
      </c>
      <c r="H123">
        <f>'PSP Data'!H126</f>
        <v>0</v>
      </c>
      <c r="I123">
        <f>'PSP Data'!I126</f>
        <v>0</v>
      </c>
      <c r="J123" s="29" t="e">
        <f t="shared" si="5"/>
        <v>#N/A</v>
      </c>
      <c r="K123" s="29" t="e">
        <f>IF(AND((A123&lt;'PSP Data'!$C$11),(A123&lt;&gt;0)),Analysis!C123,#N/A)</f>
        <v>#N/A</v>
      </c>
      <c r="L123" t="e">
        <f>IF(VLOOKUP(B123,Table1[],4)=0,"unknown", VLOOKUP(B123,Table1[],4))</f>
        <v>#N/A</v>
      </c>
      <c r="M123">
        <v>1</v>
      </c>
      <c r="N123" t="e">
        <f t="shared" si="6"/>
        <v>#N/A</v>
      </c>
      <c r="O123" t="str">
        <f t="shared" si="7"/>
        <v/>
      </c>
      <c r="P123" t="str">
        <f t="shared" si="8"/>
        <v/>
      </c>
      <c r="Q123" t="str">
        <f t="shared" si="9"/>
        <v/>
      </c>
      <c r="R123">
        <v>1</v>
      </c>
    </row>
    <row r="124" spans="1:18">
      <c r="A124">
        <f>'PSP Data'!A127</f>
        <v>0</v>
      </c>
      <c r="B124" t="str">
        <f>IF('PSP Data'!B127=0,"",'PSP Data'!B127)</f>
        <v/>
      </c>
      <c r="C124">
        <f>'PSP Data'!C127</f>
        <v>0</v>
      </c>
      <c r="D124">
        <f>'PSP Data'!D127</f>
        <v>0</v>
      </c>
      <c r="E124">
        <f>'PSP Data'!E127</f>
        <v>0</v>
      </c>
      <c r="F124">
        <f>'PSP Data'!F127</f>
        <v>0</v>
      </c>
      <c r="G124">
        <f>'PSP Data'!G127</f>
        <v>0</v>
      </c>
      <c r="H124">
        <f>'PSP Data'!H127</f>
        <v>0</v>
      </c>
      <c r="I124">
        <f>'PSP Data'!I127</f>
        <v>0</v>
      </c>
      <c r="J124" s="29" t="e">
        <f t="shared" si="5"/>
        <v>#N/A</v>
      </c>
      <c r="K124" s="29" t="e">
        <f>IF(AND((A124&lt;'PSP Data'!$C$11),(A124&lt;&gt;0)),Analysis!C124,#N/A)</f>
        <v>#N/A</v>
      </c>
      <c r="L124" t="e">
        <f>IF(VLOOKUP(B124,Table1[],4)=0,"unknown", VLOOKUP(B124,Table1[],4))</f>
        <v>#N/A</v>
      </c>
      <c r="M124">
        <v>1</v>
      </c>
      <c r="N124" t="e">
        <f t="shared" si="6"/>
        <v>#N/A</v>
      </c>
      <c r="O124" t="str">
        <f t="shared" si="7"/>
        <v/>
      </c>
      <c r="P124" t="str">
        <f t="shared" si="8"/>
        <v/>
      </c>
      <c r="Q124" t="str">
        <f t="shared" si="9"/>
        <v/>
      </c>
      <c r="R124">
        <v>1</v>
      </c>
    </row>
    <row r="125" spans="1:18">
      <c r="A125">
        <f>'PSP Data'!A128</f>
        <v>0</v>
      </c>
      <c r="B125" t="str">
        <f>IF('PSP Data'!B128=0,"",'PSP Data'!B128)</f>
        <v/>
      </c>
      <c r="C125">
        <f>'PSP Data'!C128</f>
        <v>0</v>
      </c>
      <c r="D125">
        <f>'PSP Data'!D128</f>
        <v>0</v>
      </c>
      <c r="E125">
        <f>'PSP Data'!E128</f>
        <v>0</v>
      </c>
      <c r="F125">
        <f>'PSP Data'!F128</f>
        <v>0</v>
      </c>
      <c r="G125">
        <f>'PSP Data'!G128</f>
        <v>0</v>
      </c>
      <c r="H125">
        <f>'PSP Data'!H128</f>
        <v>0</v>
      </c>
      <c r="I125">
        <f>'PSP Data'!I128</f>
        <v>0</v>
      </c>
      <c r="J125" s="29" t="e">
        <f t="shared" si="5"/>
        <v>#N/A</v>
      </c>
      <c r="K125" s="29" t="e">
        <f>IF(AND((A125&lt;'PSP Data'!$C$11),(A125&lt;&gt;0)),Analysis!C125,#N/A)</f>
        <v>#N/A</v>
      </c>
      <c r="L125" t="e">
        <f>IF(VLOOKUP(B125,Table1[],4)=0,"unknown", VLOOKUP(B125,Table1[],4))</f>
        <v>#N/A</v>
      </c>
      <c r="M125">
        <v>1</v>
      </c>
      <c r="N125" t="e">
        <f t="shared" si="6"/>
        <v>#N/A</v>
      </c>
      <c r="O125" t="str">
        <f t="shared" si="7"/>
        <v/>
      </c>
      <c r="P125" t="str">
        <f t="shared" si="8"/>
        <v/>
      </c>
      <c r="Q125" t="str">
        <f t="shared" si="9"/>
        <v/>
      </c>
      <c r="R125">
        <v>1</v>
      </c>
    </row>
    <row r="126" spans="1:18">
      <c r="A126">
        <f>'PSP Data'!A129</f>
        <v>0</v>
      </c>
      <c r="B126" t="str">
        <f>IF('PSP Data'!B129=0,"",'PSP Data'!B129)</f>
        <v/>
      </c>
      <c r="C126">
        <f>'PSP Data'!C129</f>
        <v>0</v>
      </c>
      <c r="D126">
        <f>'PSP Data'!D129</f>
        <v>0</v>
      </c>
      <c r="E126">
        <f>'PSP Data'!E129</f>
        <v>0</v>
      </c>
      <c r="F126">
        <f>'PSP Data'!F129</f>
        <v>0</v>
      </c>
      <c r="G126">
        <f>'PSP Data'!G129</f>
        <v>0</v>
      </c>
      <c r="H126">
        <f>'PSP Data'!H129</f>
        <v>0</v>
      </c>
      <c r="I126">
        <f>'PSP Data'!I129</f>
        <v>0</v>
      </c>
      <c r="J126" s="29" t="e">
        <f t="shared" si="5"/>
        <v>#N/A</v>
      </c>
      <c r="K126" s="29" t="e">
        <f>IF(AND((A126&lt;'PSP Data'!$C$11),(A126&lt;&gt;0)),Analysis!C126,#N/A)</f>
        <v>#N/A</v>
      </c>
      <c r="L126" t="e">
        <f>IF(VLOOKUP(B126,Table1[],4)=0,"unknown", VLOOKUP(B126,Table1[],4))</f>
        <v>#N/A</v>
      </c>
      <c r="M126">
        <v>1</v>
      </c>
      <c r="N126" t="e">
        <f t="shared" si="6"/>
        <v>#N/A</v>
      </c>
      <c r="O126" t="str">
        <f t="shared" si="7"/>
        <v/>
      </c>
      <c r="P126" t="str">
        <f t="shared" si="8"/>
        <v/>
      </c>
      <c r="Q126" t="str">
        <f t="shared" si="9"/>
        <v/>
      </c>
      <c r="R126">
        <v>1</v>
      </c>
    </row>
    <row r="127" spans="1:18">
      <c r="A127">
        <f>'PSP Data'!A130</f>
        <v>0</v>
      </c>
      <c r="B127" t="str">
        <f>IF('PSP Data'!B130=0,"",'PSP Data'!B130)</f>
        <v/>
      </c>
      <c r="C127">
        <f>'PSP Data'!C130</f>
        <v>0</v>
      </c>
      <c r="D127">
        <f>'PSP Data'!D130</f>
        <v>0</v>
      </c>
      <c r="E127">
        <f>'PSP Data'!E130</f>
        <v>0</v>
      </c>
      <c r="F127">
        <f>'PSP Data'!F130</f>
        <v>0</v>
      </c>
      <c r="G127">
        <f>'PSP Data'!G130</f>
        <v>0</v>
      </c>
      <c r="H127">
        <f>'PSP Data'!H130</f>
        <v>0</v>
      </c>
      <c r="I127">
        <f>'PSP Data'!I130</f>
        <v>0</v>
      </c>
      <c r="J127" s="29" t="e">
        <f t="shared" si="5"/>
        <v>#N/A</v>
      </c>
      <c r="K127" s="29" t="e">
        <f>IF(AND((A127&lt;'PSP Data'!$C$11),(A127&lt;&gt;0)),Analysis!C127,#N/A)</f>
        <v>#N/A</v>
      </c>
      <c r="L127" t="e">
        <f>IF(VLOOKUP(B127,Table1[],4)=0,"unknown", VLOOKUP(B127,Table1[],4))</f>
        <v>#N/A</v>
      </c>
      <c r="M127">
        <v>1</v>
      </c>
      <c r="N127" t="e">
        <f t="shared" si="6"/>
        <v>#N/A</v>
      </c>
      <c r="O127" t="str">
        <f t="shared" si="7"/>
        <v/>
      </c>
      <c r="P127" t="str">
        <f t="shared" si="8"/>
        <v/>
      </c>
      <c r="Q127" t="str">
        <f t="shared" si="9"/>
        <v/>
      </c>
      <c r="R127">
        <v>1</v>
      </c>
    </row>
    <row r="128" spans="1:18">
      <c r="A128">
        <f>'PSP Data'!A131</f>
        <v>0</v>
      </c>
      <c r="B128" t="str">
        <f>IF('PSP Data'!B131=0,"",'PSP Data'!B131)</f>
        <v/>
      </c>
      <c r="C128">
        <f>'PSP Data'!C131</f>
        <v>0</v>
      </c>
      <c r="D128">
        <f>'PSP Data'!D131</f>
        <v>0</v>
      </c>
      <c r="E128">
        <f>'PSP Data'!E131</f>
        <v>0</v>
      </c>
      <c r="F128">
        <f>'PSP Data'!F131</f>
        <v>0</v>
      </c>
      <c r="G128">
        <f>'PSP Data'!G131</f>
        <v>0</v>
      </c>
      <c r="H128">
        <f>'PSP Data'!H131</f>
        <v>0</v>
      </c>
      <c r="I128">
        <f>'PSP Data'!I131</f>
        <v>0</v>
      </c>
      <c r="J128" s="29" t="e">
        <f t="shared" si="5"/>
        <v>#N/A</v>
      </c>
      <c r="K128" s="29" t="e">
        <f>IF(AND((A128&lt;'PSP Data'!$C$11),(A128&lt;&gt;0)),Analysis!C128,#N/A)</f>
        <v>#N/A</v>
      </c>
      <c r="L128" t="e">
        <f>IF(VLOOKUP(B128,Table1[],4)=0,"unknown", VLOOKUP(B128,Table1[],4))</f>
        <v>#N/A</v>
      </c>
      <c r="M128">
        <v>1</v>
      </c>
      <c r="N128" t="e">
        <f t="shared" si="6"/>
        <v>#N/A</v>
      </c>
      <c r="O128" t="str">
        <f t="shared" si="7"/>
        <v/>
      </c>
      <c r="P128" t="str">
        <f t="shared" si="8"/>
        <v/>
      </c>
      <c r="Q128" t="str">
        <f t="shared" si="9"/>
        <v/>
      </c>
      <c r="R128">
        <v>1</v>
      </c>
    </row>
    <row r="129" spans="1:18">
      <c r="A129">
        <f>'PSP Data'!A132</f>
        <v>0</v>
      </c>
      <c r="B129" t="str">
        <f>IF('PSP Data'!B132=0,"",'PSP Data'!B132)</f>
        <v/>
      </c>
      <c r="C129">
        <f>'PSP Data'!C132</f>
        <v>0</v>
      </c>
      <c r="D129">
        <f>'PSP Data'!D132</f>
        <v>0</v>
      </c>
      <c r="E129">
        <f>'PSP Data'!E132</f>
        <v>0</v>
      </c>
      <c r="F129">
        <f>'PSP Data'!F132</f>
        <v>0</v>
      </c>
      <c r="G129">
        <f>'PSP Data'!G132</f>
        <v>0</v>
      </c>
      <c r="H129">
        <f>'PSP Data'!H132</f>
        <v>0</v>
      </c>
      <c r="I129">
        <f>'PSP Data'!I132</f>
        <v>0</v>
      </c>
      <c r="J129" s="29" t="e">
        <f t="shared" si="5"/>
        <v>#N/A</v>
      </c>
      <c r="K129" s="29" t="e">
        <f>IF(AND((A129&lt;'PSP Data'!$C$11),(A129&lt;&gt;0)),Analysis!C129,#N/A)</f>
        <v>#N/A</v>
      </c>
      <c r="L129" t="e">
        <f>IF(VLOOKUP(B129,Table1[],4)=0,"unknown", VLOOKUP(B129,Table1[],4))</f>
        <v>#N/A</v>
      </c>
      <c r="M129">
        <v>1</v>
      </c>
      <c r="N129" t="e">
        <f t="shared" si="6"/>
        <v>#N/A</v>
      </c>
      <c r="O129" t="str">
        <f t="shared" si="7"/>
        <v/>
      </c>
      <c r="P129" t="str">
        <f t="shared" si="8"/>
        <v/>
      </c>
      <c r="Q129" t="str">
        <f t="shared" si="9"/>
        <v/>
      </c>
      <c r="R129">
        <v>1</v>
      </c>
    </row>
    <row r="130" spans="1:18">
      <c r="A130">
        <f>'PSP Data'!A133</f>
        <v>0</v>
      </c>
      <c r="B130" t="str">
        <f>IF('PSP Data'!B133=0,"",'PSP Data'!B133)</f>
        <v/>
      </c>
      <c r="C130">
        <f>'PSP Data'!C133</f>
        <v>0</v>
      </c>
      <c r="D130">
        <f>'PSP Data'!D133</f>
        <v>0</v>
      </c>
      <c r="E130">
        <f>'PSP Data'!E133</f>
        <v>0</v>
      </c>
      <c r="F130">
        <f>'PSP Data'!F133</f>
        <v>0</v>
      </c>
      <c r="G130">
        <f>'PSP Data'!G133</f>
        <v>0</v>
      </c>
      <c r="H130">
        <f>'PSP Data'!H133</f>
        <v>0</v>
      </c>
      <c r="I130">
        <f>'PSP Data'!I133</f>
        <v>0</v>
      </c>
      <c r="J130" s="29" t="e">
        <f t="shared" si="5"/>
        <v>#N/A</v>
      </c>
      <c r="K130" s="29" t="e">
        <f>IF(AND((A130&lt;'PSP Data'!$C$11),(A130&lt;&gt;0)),Analysis!C130,#N/A)</f>
        <v>#N/A</v>
      </c>
      <c r="L130" t="e">
        <f>IF(VLOOKUP(B130,Table1[],4)=0,"unknown", VLOOKUP(B130,Table1[],4))</f>
        <v>#N/A</v>
      </c>
      <c r="M130">
        <v>1</v>
      </c>
      <c r="N130" t="e">
        <f t="shared" si="6"/>
        <v>#N/A</v>
      </c>
      <c r="O130" t="str">
        <f t="shared" si="7"/>
        <v/>
      </c>
      <c r="P130" t="str">
        <f t="shared" si="8"/>
        <v/>
      </c>
      <c r="Q130" t="str">
        <f t="shared" si="9"/>
        <v/>
      </c>
      <c r="R130">
        <v>1</v>
      </c>
    </row>
    <row r="131" spans="1:18">
      <c r="A131">
        <f>'PSP Data'!A134</f>
        <v>0</v>
      </c>
      <c r="B131" t="str">
        <f>IF('PSP Data'!B134=0,"",'PSP Data'!B134)</f>
        <v/>
      </c>
      <c r="C131">
        <f>'PSP Data'!C134</f>
        <v>0</v>
      </c>
      <c r="D131">
        <f>'PSP Data'!D134</f>
        <v>0</v>
      </c>
      <c r="E131">
        <f>'PSP Data'!E134</f>
        <v>0</v>
      </c>
      <c r="F131">
        <f>'PSP Data'!F134</f>
        <v>0</v>
      </c>
      <c r="G131">
        <f>'PSP Data'!G134</f>
        <v>0</v>
      </c>
      <c r="H131">
        <f>'PSP Data'!H134</f>
        <v>0</v>
      </c>
      <c r="I131">
        <f>'PSP Data'!I134</f>
        <v>0</v>
      </c>
      <c r="J131" s="29" t="e">
        <f t="shared" si="5"/>
        <v>#N/A</v>
      </c>
      <c r="K131" s="29" t="e">
        <f>IF(AND((A131&lt;'PSP Data'!$C$11),(A131&lt;&gt;0)),Analysis!C131,#N/A)</f>
        <v>#N/A</v>
      </c>
      <c r="L131" t="e">
        <f>IF(VLOOKUP(B131,Table1[],4)=0,"unknown", VLOOKUP(B131,Table1[],4))</f>
        <v>#N/A</v>
      </c>
      <c r="M131">
        <v>1</v>
      </c>
      <c r="N131" t="e">
        <f t="shared" si="6"/>
        <v>#N/A</v>
      </c>
      <c r="O131" t="str">
        <f t="shared" si="7"/>
        <v/>
      </c>
      <c r="P131" t="str">
        <f t="shared" si="8"/>
        <v/>
      </c>
      <c r="Q131" t="str">
        <f t="shared" si="9"/>
        <v/>
      </c>
      <c r="R131">
        <v>1</v>
      </c>
    </row>
    <row r="132" spans="1:18">
      <c r="A132">
        <f>'PSP Data'!A135</f>
        <v>0</v>
      </c>
      <c r="B132" t="str">
        <f>IF('PSP Data'!B135=0,"",'PSP Data'!B135)</f>
        <v/>
      </c>
      <c r="C132">
        <f>'PSP Data'!C135</f>
        <v>0</v>
      </c>
      <c r="D132">
        <f>'PSP Data'!D135</f>
        <v>0</v>
      </c>
      <c r="E132">
        <f>'PSP Data'!E135</f>
        <v>0</v>
      </c>
      <c r="F132">
        <f>'PSP Data'!F135</f>
        <v>0</v>
      </c>
      <c r="G132">
        <f>'PSP Data'!G135</f>
        <v>0</v>
      </c>
      <c r="H132">
        <f>'PSP Data'!H135</f>
        <v>0</v>
      </c>
      <c r="I132">
        <f>'PSP Data'!I135</f>
        <v>0</v>
      </c>
      <c r="J132" s="29" t="e">
        <f t="shared" si="5"/>
        <v>#N/A</v>
      </c>
      <c r="K132" s="29" t="e">
        <f>IF(AND((A132&lt;'PSP Data'!$C$11),(A132&lt;&gt;0)),Analysis!C132,#N/A)</f>
        <v>#N/A</v>
      </c>
      <c r="L132" t="e">
        <f>IF(VLOOKUP(B132,Table1[],4)=0,"unknown", VLOOKUP(B132,Table1[],4))</f>
        <v>#N/A</v>
      </c>
      <c r="M132">
        <v>1</v>
      </c>
      <c r="N132" t="e">
        <f t="shared" si="6"/>
        <v>#N/A</v>
      </c>
      <c r="O132" t="str">
        <f t="shared" si="7"/>
        <v/>
      </c>
      <c r="P132" t="str">
        <f t="shared" si="8"/>
        <v/>
      </c>
      <c r="Q132" t="str">
        <f t="shared" si="9"/>
        <v/>
      </c>
      <c r="R132">
        <v>1</v>
      </c>
    </row>
    <row r="133" spans="1:18">
      <c r="A133">
        <f>'PSP Data'!A136</f>
        <v>0</v>
      </c>
      <c r="B133" t="str">
        <f>IF('PSP Data'!B136=0,"",'PSP Data'!B136)</f>
        <v/>
      </c>
      <c r="C133">
        <f>'PSP Data'!C136</f>
        <v>0</v>
      </c>
      <c r="D133">
        <f>'PSP Data'!D136</f>
        <v>0</v>
      </c>
      <c r="E133">
        <f>'PSP Data'!E136</f>
        <v>0</v>
      </c>
      <c r="F133">
        <f>'PSP Data'!F136</f>
        <v>0</v>
      </c>
      <c r="G133">
        <f>'PSP Data'!G136</f>
        <v>0</v>
      </c>
      <c r="H133">
        <f>'PSP Data'!H136</f>
        <v>0</v>
      </c>
      <c r="I133">
        <f>'PSP Data'!I136</f>
        <v>0</v>
      </c>
      <c r="J133" s="29" t="e">
        <f t="shared" si="5"/>
        <v>#N/A</v>
      </c>
      <c r="K133" s="29" t="e">
        <f>IF(AND((A133&lt;'PSP Data'!$C$11),(A133&lt;&gt;0)),Analysis!C133,#N/A)</f>
        <v>#N/A</v>
      </c>
      <c r="L133" t="e">
        <f>IF(VLOOKUP(B133,Table1[],4)=0,"unknown", VLOOKUP(B133,Table1[],4))</f>
        <v>#N/A</v>
      </c>
      <c r="M133">
        <v>1</v>
      </c>
      <c r="N133" t="e">
        <f t="shared" si="6"/>
        <v>#N/A</v>
      </c>
      <c r="O133" t="str">
        <f t="shared" si="7"/>
        <v/>
      </c>
      <c r="P133" t="str">
        <f t="shared" si="8"/>
        <v/>
      </c>
      <c r="Q133" t="str">
        <f t="shared" si="9"/>
        <v/>
      </c>
      <c r="R133">
        <v>1</v>
      </c>
    </row>
    <row r="134" spans="1:18">
      <c r="A134">
        <f>'PSP Data'!A137</f>
        <v>0</v>
      </c>
      <c r="B134" t="str">
        <f>IF('PSP Data'!B137=0,"",'PSP Data'!B137)</f>
        <v/>
      </c>
      <c r="C134">
        <f>'PSP Data'!C137</f>
        <v>0</v>
      </c>
      <c r="D134">
        <f>'PSP Data'!D137</f>
        <v>0</v>
      </c>
      <c r="E134">
        <f>'PSP Data'!E137</f>
        <v>0</v>
      </c>
      <c r="F134">
        <f>'PSP Data'!F137</f>
        <v>0</v>
      </c>
      <c r="G134">
        <f>'PSP Data'!G137</f>
        <v>0</v>
      </c>
      <c r="H134">
        <f>'PSP Data'!H137</f>
        <v>0</v>
      </c>
      <c r="I134">
        <f>'PSP Data'!I137</f>
        <v>0</v>
      </c>
      <c r="J134" s="29" t="e">
        <f t="shared" si="5"/>
        <v>#N/A</v>
      </c>
      <c r="K134" s="29" t="e">
        <f>IF(AND((A134&lt;'PSP Data'!$C$11),(A134&lt;&gt;0)),Analysis!C134,#N/A)</f>
        <v>#N/A</v>
      </c>
      <c r="L134" t="e">
        <f>IF(VLOOKUP(B134,Table1[],4)=0,"unknown", VLOOKUP(B134,Table1[],4))</f>
        <v>#N/A</v>
      </c>
      <c r="M134">
        <v>1</v>
      </c>
      <c r="N134" t="e">
        <f t="shared" si="6"/>
        <v>#N/A</v>
      </c>
      <c r="O134" t="str">
        <f t="shared" si="7"/>
        <v/>
      </c>
      <c r="P134" t="str">
        <f t="shared" si="8"/>
        <v/>
      </c>
      <c r="Q134" t="str">
        <f t="shared" si="9"/>
        <v/>
      </c>
      <c r="R134">
        <v>1</v>
      </c>
    </row>
    <row r="135" spans="1:18">
      <c r="A135">
        <f>'PSP Data'!A138</f>
        <v>0</v>
      </c>
      <c r="B135" t="str">
        <f>IF('PSP Data'!B138=0,"",'PSP Data'!B138)</f>
        <v/>
      </c>
      <c r="C135">
        <f>'PSP Data'!C138</f>
        <v>0</v>
      </c>
      <c r="D135">
        <f>'PSP Data'!D138</f>
        <v>0</v>
      </c>
      <c r="E135">
        <f>'PSP Data'!E138</f>
        <v>0</v>
      </c>
      <c r="F135">
        <f>'PSP Data'!F138</f>
        <v>0</v>
      </c>
      <c r="G135">
        <f>'PSP Data'!G138</f>
        <v>0</v>
      </c>
      <c r="H135">
        <f>'PSP Data'!H138</f>
        <v>0</v>
      </c>
      <c r="I135">
        <f>'PSP Data'!I138</f>
        <v>0</v>
      </c>
      <c r="J135" s="29" t="e">
        <f t="shared" si="5"/>
        <v>#N/A</v>
      </c>
      <c r="K135" s="29" t="e">
        <f>IF(AND((A135&lt;'PSP Data'!$C$11),(A135&lt;&gt;0)),Analysis!C135,#N/A)</f>
        <v>#N/A</v>
      </c>
      <c r="L135" t="e">
        <f>IF(VLOOKUP(B135,Table1[],4)=0,"unknown", VLOOKUP(B135,Table1[],4))</f>
        <v>#N/A</v>
      </c>
      <c r="M135">
        <v>1</v>
      </c>
      <c r="N135" t="e">
        <f t="shared" si="6"/>
        <v>#N/A</v>
      </c>
      <c r="O135" t="str">
        <f t="shared" si="7"/>
        <v/>
      </c>
      <c r="P135" t="str">
        <f t="shared" si="8"/>
        <v/>
      </c>
      <c r="Q135" t="str">
        <f t="shared" si="9"/>
        <v/>
      </c>
      <c r="R135">
        <v>1</v>
      </c>
    </row>
    <row r="136" spans="1:18">
      <c r="A136">
        <f>'PSP Data'!A139</f>
        <v>0</v>
      </c>
      <c r="B136" t="str">
        <f>IF('PSP Data'!B139=0,"",'PSP Data'!B139)</f>
        <v/>
      </c>
      <c r="C136">
        <f>'PSP Data'!C139</f>
        <v>0</v>
      </c>
      <c r="D136">
        <f>'PSP Data'!D139</f>
        <v>0</v>
      </c>
      <c r="E136">
        <f>'PSP Data'!E139</f>
        <v>0</v>
      </c>
      <c r="F136">
        <f>'PSP Data'!F139</f>
        <v>0</v>
      </c>
      <c r="G136">
        <f>'PSP Data'!G139</f>
        <v>0</v>
      </c>
      <c r="H136">
        <f>'PSP Data'!H139</f>
        <v>0</v>
      </c>
      <c r="I136">
        <f>'PSP Data'!I139</f>
        <v>0</v>
      </c>
      <c r="J136" s="29" t="e">
        <f t="shared" si="5"/>
        <v>#N/A</v>
      </c>
      <c r="K136" s="29" t="e">
        <f>IF(AND((A136&lt;'PSP Data'!$C$11),(A136&lt;&gt;0)),Analysis!C136,#N/A)</f>
        <v>#N/A</v>
      </c>
      <c r="L136" t="e">
        <f>IF(VLOOKUP(B136,Table1[],4)=0,"unknown", VLOOKUP(B136,Table1[],4))</f>
        <v>#N/A</v>
      </c>
      <c r="M136">
        <v>1</v>
      </c>
      <c r="N136" t="e">
        <f t="shared" si="6"/>
        <v>#N/A</v>
      </c>
      <c r="O136" t="str">
        <f t="shared" si="7"/>
        <v/>
      </c>
      <c r="P136" t="str">
        <f t="shared" si="8"/>
        <v/>
      </c>
      <c r="Q136" t="str">
        <f t="shared" si="9"/>
        <v/>
      </c>
      <c r="R136">
        <v>1</v>
      </c>
    </row>
    <row r="137" spans="1:18">
      <c r="A137">
        <f>'PSP Data'!A140</f>
        <v>0</v>
      </c>
      <c r="B137" t="str">
        <f>IF('PSP Data'!B140=0,"",'PSP Data'!B140)</f>
        <v/>
      </c>
      <c r="C137">
        <f>'PSP Data'!C140</f>
        <v>0</v>
      </c>
      <c r="D137">
        <f>'PSP Data'!D140</f>
        <v>0</v>
      </c>
      <c r="E137">
        <f>'PSP Data'!E140</f>
        <v>0</v>
      </c>
      <c r="F137">
        <f>'PSP Data'!F140</f>
        <v>0</v>
      </c>
      <c r="G137">
        <f>'PSP Data'!G140</f>
        <v>0</v>
      </c>
      <c r="H137">
        <f>'PSP Data'!H140</f>
        <v>0</v>
      </c>
      <c r="I137">
        <f>'PSP Data'!I140</f>
        <v>0</v>
      </c>
      <c r="J137" s="29" t="e">
        <f t="shared" si="5"/>
        <v>#N/A</v>
      </c>
      <c r="K137" s="29" t="e">
        <f>IF(AND((A137&lt;'PSP Data'!$C$11),(A137&lt;&gt;0)),Analysis!C137,#N/A)</f>
        <v>#N/A</v>
      </c>
      <c r="L137" t="e">
        <f>IF(VLOOKUP(B137,Table1[],4)=0,"unknown", VLOOKUP(B137,Table1[],4))</f>
        <v>#N/A</v>
      </c>
      <c r="M137">
        <v>1</v>
      </c>
      <c r="N137" t="e">
        <f t="shared" si="6"/>
        <v>#N/A</v>
      </c>
      <c r="O137" t="str">
        <f t="shared" si="7"/>
        <v/>
      </c>
      <c r="P137" t="str">
        <f t="shared" si="8"/>
        <v/>
      </c>
      <c r="Q137" t="str">
        <f t="shared" si="9"/>
        <v/>
      </c>
      <c r="R137">
        <v>1</v>
      </c>
    </row>
    <row r="138" spans="1:18">
      <c r="A138">
        <f>'PSP Data'!A141</f>
        <v>0</v>
      </c>
      <c r="B138" t="str">
        <f>IF('PSP Data'!B141=0,"",'PSP Data'!B141)</f>
        <v/>
      </c>
      <c r="C138">
        <f>'PSP Data'!C141</f>
        <v>0</v>
      </c>
      <c r="D138">
        <f>'PSP Data'!D141</f>
        <v>0</v>
      </c>
      <c r="E138">
        <f>'PSP Data'!E141</f>
        <v>0</v>
      </c>
      <c r="F138">
        <f>'PSP Data'!F141</f>
        <v>0</v>
      </c>
      <c r="G138">
        <f>'PSP Data'!G141</f>
        <v>0</v>
      </c>
      <c r="H138">
        <f>'PSP Data'!H141</f>
        <v>0</v>
      </c>
      <c r="I138">
        <f>'PSP Data'!I141</f>
        <v>0</v>
      </c>
      <c r="J138" s="29" t="e">
        <f t="shared" si="5"/>
        <v>#N/A</v>
      </c>
      <c r="K138" s="29" t="e">
        <f>IF(AND((A138&lt;'PSP Data'!$C$11),(A138&lt;&gt;0)),Analysis!C138,#N/A)</f>
        <v>#N/A</v>
      </c>
      <c r="L138" t="e">
        <f>IF(VLOOKUP(B138,Table1[],4)=0,"unknown", VLOOKUP(B138,Table1[],4))</f>
        <v>#N/A</v>
      </c>
      <c r="M138">
        <v>1</v>
      </c>
      <c r="N138" t="e">
        <f t="shared" si="6"/>
        <v>#N/A</v>
      </c>
      <c r="O138" t="str">
        <f t="shared" si="7"/>
        <v/>
      </c>
      <c r="P138" t="str">
        <f t="shared" si="8"/>
        <v/>
      </c>
      <c r="Q138" t="str">
        <f t="shared" si="9"/>
        <v/>
      </c>
      <c r="R138">
        <v>1</v>
      </c>
    </row>
    <row r="139" spans="1:18">
      <c r="A139">
        <f>'PSP Data'!A142</f>
        <v>0</v>
      </c>
      <c r="B139" t="str">
        <f>IF('PSP Data'!B142=0,"",'PSP Data'!B142)</f>
        <v/>
      </c>
      <c r="C139">
        <f>'PSP Data'!C142</f>
        <v>0</v>
      </c>
      <c r="D139">
        <f>'PSP Data'!D142</f>
        <v>0</v>
      </c>
      <c r="E139">
        <f>'PSP Data'!E142</f>
        <v>0</v>
      </c>
      <c r="F139">
        <f>'PSP Data'!F142</f>
        <v>0</v>
      </c>
      <c r="G139">
        <f>'PSP Data'!G142</f>
        <v>0</v>
      </c>
      <c r="H139">
        <f>'PSP Data'!H142</f>
        <v>0</v>
      </c>
      <c r="I139">
        <f>'PSP Data'!I142</f>
        <v>0</v>
      </c>
      <c r="J139" s="29" t="e">
        <f t="shared" si="5"/>
        <v>#N/A</v>
      </c>
      <c r="K139" s="29" t="e">
        <f>IF(AND((A139&lt;'PSP Data'!$C$11),(A139&lt;&gt;0)),Analysis!C139,#N/A)</f>
        <v>#N/A</v>
      </c>
      <c r="L139" t="e">
        <f>IF(VLOOKUP(B139,Table1[],4)=0,"unknown", VLOOKUP(B139,Table1[],4))</f>
        <v>#N/A</v>
      </c>
      <c r="M139">
        <v>1</v>
      </c>
      <c r="N139" t="e">
        <f t="shared" si="6"/>
        <v>#N/A</v>
      </c>
      <c r="O139" t="str">
        <f t="shared" si="7"/>
        <v/>
      </c>
      <c r="P139" t="str">
        <f t="shared" si="8"/>
        <v/>
      </c>
      <c r="Q139" t="str">
        <f t="shared" si="9"/>
        <v/>
      </c>
      <c r="R139">
        <v>1</v>
      </c>
    </row>
    <row r="140" spans="1:18">
      <c r="A140">
        <f>'PSP Data'!A143</f>
        <v>0</v>
      </c>
      <c r="B140" t="str">
        <f>IF('PSP Data'!B143=0,"",'PSP Data'!B143)</f>
        <v/>
      </c>
      <c r="C140">
        <f>'PSP Data'!C143</f>
        <v>0</v>
      </c>
      <c r="D140">
        <f>'PSP Data'!D143</f>
        <v>0</v>
      </c>
      <c r="E140">
        <f>'PSP Data'!E143</f>
        <v>0</v>
      </c>
      <c r="F140">
        <f>'PSP Data'!F143</f>
        <v>0</v>
      </c>
      <c r="G140">
        <f>'PSP Data'!G143</f>
        <v>0</v>
      </c>
      <c r="H140">
        <f>'PSP Data'!H143</f>
        <v>0</v>
      </c>
      <c r="I140">
        <f>'PSP Data'!I143</f>
        <v>0</v>
      </c>
      <c r="J140" s="29" t="e">
        <f t="shared" si="5"/>
        <v>#N/A</v>
      </c>
      <c r="K140" s="29" t="e">
        <f>IF(AND((A140&lt;'PSP Data'!$C$11),(A140&lt;&gt;0)),Analysis!C140,#N/A)</f>
        <v>#N/A</v>
      </c>
      <c r="L140" t="e">
        <f>IF(VLOOKUP(B140,Table1[],4)=0,"unknown", VLOOKUP(B140,Table1[],4))</f>
        <v>#N/A</v>
      </c>
      <c r="M140">
        <v>1</v>
      </c>
      <c r="N140" t="e">
        <f t="shared" si="6"/>
        <v>#N/A</v>
      </c>
      <c r="O140" t="str">
        <f t="shared" si="7"/>
        <v/>
      </c>
      <c r="P140" t="str">
        <f t="shared" si="8"/>
        <v/>
      </c>
      <c r="Q140" t="str">
        <f t="shared" si="9"/>
        <v/>
      </c>
      <c r="R140">
        <v>1</v>
      </c>
    </row>
    <row r="141" spans="1:18">
      <c r="A141">
        <f>'PSP Data'!A144</f>
        <v>0</v>
      </c>
      <c r="B141" t="str">
        <f>IF('PSP Data'!B144=0,"",'PSP Data'!B144)</f>
        <v/>
      </c>
      <c r="C141">
        <f>'PSP Data'!C144</f>
        <v>0</v>
      </c>
      <c r="D141">
        <f>'PSP Data'!D144</f>
        <v>0</v>
      </c>
      <c r="E141">
        <f>'PSP Data'!E144</f>
        <v>0</v>
      </c>
      <c r="F141">
        <f>'PSP Data'!F144</f>
        <v>0</v>
      </c>
      <c r="G141">
        <f>'PSP Data'!G144</f>
        <v>0</v>
      </c>
      <c r="H141">
        <f>'PSP Data'!H144</f>
        <v>0</v>
      </c>
      <c r="I141">
        <f>'PSP Data'!I144</f>
        <v>0</v>
      </c>
      <c r="J141" s="29" t="e">
        <f t="shared" si="5"/>
        <v>#N/A</v>
      </c>
      <c r="K141" s="29" t="e">
        <f>IF(AND((A141&lt;'PSP Data'!$C$11),(A141&lt;&gt;0)),Analysis!C141,#N/A)</f>
        <v>#N/A</v>
      </c>
      <c r="L141" t="e">
        <f>IF(VLOOKUP(B141,Table1[],4)=0,"unknown", VLOOKUP(B141,Table1[],4))</f>
        <v>#N/A</v>
      </c>
      <c r="M141">
        <v>1</v>
      </c>
      <c r="N141" t="e">
        <f t="shared" si="6"/>
        <v>#N/A</v>
      </c>
      <c r="O141" t="str">
        <f t="shared" si="7"/>
        <v/>
      </c>
      <c r="P141" t="str">
        <f t="shared" si="8"/>
        <v/>
      </c>
      <c r="Q141" t="str">
        <f t="shared" si="9"/>
        <v/>
      </c>
      <c r="R141">
        <v>1</v>
      </c>
    </row>
    <row r="142" spans="1:18">
      <c r="A142">
        <f>'PSP Data'!A145</f>
        <v>0</v>
      </c>
      <c r="B142" t="str">
        <f>IF('PSP Data'!B145=0,"",'PSP Data'!B145)</f>
        <v/>
      </c>
      <c r="C142">
        <f>'PSP Data'!C145</f>
        <v>0</v>
      </c>
      <c r="D142">
        <f>'PSP Data'!D145</f>
        <v>0</v>
      </c>
      <c r="E142">
        <f>'PSP Data'!E145</f>
        <v>0</v>
      </c>
      <c r="F142">
        <f>'PSP Data'!F145</f>
        <v>0</v>
      </c>
      <c r="G142">
        <f>'PSP Data'!G145</f>
        <v>0</v>
      </c>
      <c r="H142">
        <f>'PSP Data'!H145</f>
        <v>0</v>
      </c>
      <c r="I142">
        <f>'PSP Data'!I145</f>
        <v>0</v>
      </c>
      <c r="J142" s="29" t="e">
        <f t="shared" si="5"/>
        <v>#N/A</v>
      </c>
      <c r="K142" s="29" t="e">
        <f>IF(AND((A142&lt;'PSP Data'!$C$11),(A142&lt;&gt;0)),Analysis!C142,#N/A)</f>
        <v>#N/A</v>
      </c>
      <c r="L142" t="e">
        <f>IF(VLOOKUP(B142,Table1[],4)=0,"unknown", VLOOKUP(B142,Table1[],4))</f>
        <v>#N/A</v>
      </c>
      <c r="M142">
        <v>1</v>
      </c>
      <c r="N142" t="e">
        <f t="shared" si="6"/>
        <v>#N/A</v>
      </c>
      <c r="O142" t="str">
        <f t="shared" si="7"/>
        <v/>
      </c>
      <c r="P142" t="str">
        <f t="shared" si="8"/>
        <v/>
      </c>
      <c r="Q142" t="str">
        <f t="shared" si="9"/>
        <v/>
      </c>
      <c r="R142">
        <v>1</v>
      </c>
    </row>
    <row r="143" spans="1:18">
      <c r="A143">
        <f>'PSP Data'!A146</f>
        <v>0</v>
      </c>
      <c r="B143" t="str">
        <f>IF('PSP Data'!B146=0,"",'PSP Data'!B146)</f>
        <v/>
      </c>
      <c r="C143">
        <f>'PSP Data'!C146</f>
        <v>0</v>
      </c>
      <c r="D143">
        <f>'PSP Data'!D146</f>
        <v>0</v>
      </c>
      <c r="E143">
        <f>'PSP Data'!E146</f>
        <v>0</v>
      </c>
      <c r="F143">
        <f>'PSP Data'!F146</f>
        <v>0</v>
      </c>
      <c r="G143">
        <f>'PSP Data'!G146</f>
        <v>0</v>
      </c>
      <c r="H143">
        <f>'PSP Data'!H146</f>
        <v>0</v>
      </c>
      <c r="I143">
        <f>'PSP Data'!I146</f>
        <v>0</v>
      </c>
      <c r="J143" s="29" t="e">
        <f t="shared" si="5"/>
        <v>#N/A</v>
      </c>
      <c r="K143" s="29" t="e">
        <f>IF(AND((A143&lt;'PSP Data'!$C$11),(A143&lt;&gt;0)),Analysis!C143,#N/A)</f>
        <v>#N/A</v>
      </c>
      <c r="L143" t="e">
        <f>IF(VLOOKUP(B143,Table1[],4)=0,"unknown", VLOOKUP(B143,Table1[],4))</f>
        <v>#N/A</v>
      </c>
      <c r="M143">
        <v>1</v>
      </c>
      <c r="N143" t="e">
        <f t="shared" si="6"/>
        <v>#N/A</v>
      </c>
      <c r="O143" t="str">
        <f t="shared" si="7"/>
        <v/>
      </c>
      <c r="P143" t="str">
        <f t="shared" si="8"/>
        <v/>
      </c>
      <c r="Q143" t="str">
        <f t="shared" si="9"/>
        <v/>
      </c>
      <c r="R143">
        <v>1</v>
      </c>
    </row>
    <row r="144" spans="1:18">
      <c r="A144">
        <f>'PSP Data'!A147</f>
        <v>0</v>
      </c>
      <c r="B144" t="str">
        <f>IF('PSP Data'!B147=0,"",'PSP Data'!B147)</f>
        <v/>
      </c>
      <c r="C144">
        <f>'PSP Data'!C147</f>
        <v>0</v>
      </c>
      <c r="D144">
        <f>'PSP Data'!D147</f>
        <v>0</v>
      </c>
      <c r="E144">
        <f>'PSP Data'!E147</f>
        <v>0</v>
      </c>
      <c r="F144">
        <f>'PSP Data'!F147</f>
        <v>0</v>
      </c>
      <c r="G144">
        <f>'PSP Data'!G147</f>
        <v>0</v>
      </c>
      <c r="H144">
        <f>'PSP Data'!H147</f>
        <v>0</v>
      </c>
      <c r="I144">
        <f>'PSP Data'!I147</f>
        <v>0</v>
      </c>
      <c r="J144" s="29" t="e">
        <f t="shared" si="5"/>
        <v>#N/A</v>
      </c>
      <c r="K144" s="29" t="e">
        <f>IF(AND((A144&lt;'PSP Data'!$C$11),(A144&lt;&gt;0)),Analysis!C144,#N/A)</f>
        <v>#N/A</v>
      </c>
      <c r="L144" t="e">
        <f>IF(VLOOKUP(B144,Table1[],4)=0,"unknown", VLOOKUP(B144,Table1[],4))</f>
        <v>#N/A</v>
      </c>
      <c r="M144">
        <v>1</v>
      </c>
      <c r="N144" t="e">
        <f t="shared" si="6"/>
        <v>#N/A</v>
      </c>
      <c r="O144" t="str">
        <f t="shared" si="7"/>
        <v/>
      </c>
      <c r="P144" t="str">
        <f t="shared" si="8"/>
        <v/>
      </c>
      <c r="Q144" t="str">
        <f t="shared" si="9"/>
        <v/>
      </c>
      <c r="R144">
        <v>1</v>
      </c>
    </row>
    <row r="145" spans="1:18">
      <c r="A145">
        <f>'PSP Data'!A148</f>
        <v>0</v>
      </c>
      <c r="B145" t="str">
        <f>IF('PSP Data'!B148=0,"",'PSP Data'!B148)</f>
        <v/>
      </c>
      <c r="C145">
        <f>'PSP Data'!C148</f>
        <v>0</v>
      </c>
      <c r="D145">
        <f>'PSP Data'!D148</f>
        <v>0</v>
      </c>
      <c r="E145">
        <f>'PSP Data'!E148</f>
        <v>0</v>
      </c>
      <c r="F145">
        <f>'PSP Data'!F148</f>
        <v>0</v>
      </c>
      <c r="G145">
        <f>'PSP Data'!G148</f>
        <v>0</v>
      </c>
      <c r="H145">
        <f>'PSP Data'!H148</f>
        <v>0</v>
      </c>
      <c r="I145">
        <f>'PSP Data'!I148</f>
        <v>0</v>
      </c>
      <c r="J145" s="29" t="e">
        <f t="shared" si="5"/>
        <v>#N/A</v>
      </c>
      <c r="K145" s="29" t="e">
        <f>IF(AND((A145&lt;'PSP Data'!$C$11),(A145&lt;&gt;0)),Analysis!C145,#N/A)</f>
        <v>#N/A</v>
      </c>
      <c r="L145" t="e">
        <f>IF(VLOOKUP(B145,Table1[],4)=0,"unknown", VLOOKUP(B145,Table1[],4))</f>
        <v>#N/A</v>
      </c>
      <c r="M145">
        <v>1</v>
      </c>
      <c r="N145" t="e">
        <f t="shared" si="6"/>
        <v>#N/A</v>
      </c>
      <c r="O145" t="str">
        <f t="shared" si="7"/>
        <v/>
      </c>
      <c r="P145" t="str">
        <f t="shared" si="8"/>
        <v/>
      </c>
      <c r="Q145" t="str">
        <f t="shared" si="9"/>
        <v/>
      </c>
      <c r="R145">
        <v>1</v>
      </c>
    </row>
    <row r="146" spans="1:18">
      <c r="A146">
        <f>'PSP Data'!A149</f>
        <v>0</v>
      </c>
      <c r="B146" t="str">
        <f>IF('PSP Data'!B149=0,"",'PSP Data'!B149)</f>
        <v/>
      </c>
      <c r="C146">
        <f>'PSP Data'!C149</f>
        <v>0</v>
      </c>
      <c r="D146">
        <f>'PSP Data'!D149</f>
        <v>0</v>
      </c>
      <c r="E146">
        <f>'PSP Data'!E149</f>
        <v>0</v>
      </c>
      <c r="F146">
        <f>'PSP Data'!F149</f>
        <v>0</v>
      </c>
      <c r="G146">
        <f>'PSP Data'!G149</f>
        <v>0</v>
      </c>
      <c r="H146">
        <f>'PSP Data'!H149</f>
        <v>0</v>
      </c>
      <c r="I146">
        <f>'PSP Data'!I149</f>
        <v>0</v>
      </c>
      <c r="J146" s="29" t="e">
        <f t="shared" si="5"/>
        <v>#N/A</v>
      </c>
      <c r="K146" s="29" t="e">
        <f>IF(AND((A146&lt;'PSP Data'!$C$11),(A146&lt;&gt;0)),Analysis!C146,#N/A)</f>
        <v>#N/A</v>
      </c>
      <c r="L146" t="e">
        <f>IF(VLOOKUP(B146,Table1[],4)=0,"unknown", VLOOKUP(B146,Table1[],4))</f>
        <v>#N/A</v>
      </c>
      <c r="M146">
        <v>1</v>
      </c>
      <c r="N146" t="e">
        <f t="shared" si="6"/>
        <v>#N/A</v>
      </c>
      <c r="O146" t="str">
        <f t="shared" si="7"/>
        <v/>
      </c>
      <c r="P146" t="str">
        <f t="shared" si="8"/>
        <v/>
      </c>
      <c r="Q146" t="str">
        <f t="shared" si="9"/>
        <v/>
      </c>
      <c r="R146">
        <v>1</v>
      </c>
    </row>
    <row r="147" spans="1:18">
      <c r="A147">
        <f>'PSP Data'!A150</f>
        <v>0</v>
      </c>
      <c r="B147" t="str">
        <f>IF('PSP Data'!B150=0,"",'PSP Data'!B150)</f>
        <v/>
      </c>
      <c r="C147">
        <f>'PSP Data'!C150</f>
        <v>0</v>
      </c>
      <c r="D147">
        <f>'PSP Data'!D150</f>
        <v>0</v>
      </c>
      <c r="E147">
        <f>'PSP Data'!E150</f>
        <v>0</v>
      </c>
      <c r="F147">
        <f>'PSP Data'!F150</f>
        <v>0</v>
      </c>
      <c r="G147">
        <f>'PSP Data'!G150</f>
        <v>0</v>
      </c>
      <c r="H147">
        <f>'PSP Data'!H150</f>
        <v>0</v>
      </c>
      <c r="I147">
        <f>'PSP Data'!I150</f>
        <v>0</v>
      </c>
      <c r="J147" s="29" t="e">
        <f t="shared" si="5"/>
        <v>#N/A</v>
      </c>
      <c r="K147" s="29" t="e">
        <f>IF(AND((A147&lt;'PSP Data'!$C$11),(A147&lt;&gt;0)),Analysis!C147,#N/A)</f>
        <v>#N/A</v>
      </c>
      <c r="L147" t="e">
        <f>IF(VLOOKUP(B147,Table1[],4)=0,"unknown", VLOOKUP(B147,Table1[],4))</f>
        <v>#N/A</v>
      </c>
      <c r="M147">
        <v>1</v>
      </c>
      <c r="N147" t="e">
        <f t="shared" si="6"/>
        <v>#N/A</v>
      </c>
      <c r="O147" t="str">
        <f t="shared" si="7"/>
        <v/>
      </c>
      <c r="P147" t="str">
        <f t="shared" si="8"/>
        <v/>
      </c>
      <c r="Q147" t="str">
        <f t="shared" si="9"/>
        <v/>
      </c>
      <c r="R147">
        <v>1</v>
      </c>
    </row>
    <row r="148" spans="1:18">
      <c r="A148">
        <f>'PSP Data'!A151</f>
        <v>0</v>
      </c>
      <c r="B148" t="str">
        <f>IF('PSP Data'!B151=0,"",'PSP Data'!B151)</f>
        <v/>
      </c>
      <c r="C148">
        <f>'PSP Data'!C151</f>
        <v>0</v>
      </c>
      <c r="D148">
        <f>'PSP Data'!D151</f>
        <v>0</v>
      </c>
      <c r="E148">
        <f>'PSP Data'!E151</f>
        <v>0</v>
      </c>
      <c r="F148">
        <f>'PSP Data'!F151</f>
        <v>0</v>
      </c>
      <c r="G148">
        <f>'PSP Data'!G151</f>
        <v>0</v>
      </c>
      <c r="H148">
        <f>'PSP Data'!H151</f>
        <v>0</v>
      </c>
      <c r="I148">
        <f>'PSP Data'!I151</f>
        <v>0</v>
      </c>
      <c r="J148" s="29" t="e">
        <f t="shared" si="5"/>
        <v>#N/A</v>
      </c>
      <c r="K148" s="29" t="e">
        <f>IF(AND((A148&lt;'PSP Data'!$C$11),(A148&lt;&gt;0)),Analysis!C148,#N/A)</f>
        <v>#N/A</v>
      </c>
      <c r="L148" t="e">
        <f>IF(VLOOKUP(B148,Table1[],4)=0,"unknown", VLOOKUP(B148,Table1[],4))</f>
        <v>#N/A</v>
      </c>
      <c r="M148">
        <v>1</v>
      </c>
      <c r="N148" t="e">
        <f t="shared" si="6"/>
        <v>#N/A</v>
      </c>
      <c r="O148" t="str">
        <f t="shared" si="7"/>
        <v/>
      </c>
      <c r="P148" t="str">
        <f t="shared" si="8"/>
        <v/>
      </c>
      <c r="Q148" t="str">
        <f t="shared" si="9"/>
        <v/>
      </c>
      <c r="R148">
        <v>1</v>
      </c>
    </row>
    <row r="149" spans="1:18">
      <c r="A149">
        <f>'PSP Data'!A152</f>
        <v>0</v>
      </c>
      <c r="B149" t="str">
        <f>IF('PSP Data'!B152=0,"",'PSP Data'!B152)</f>
        <v/>
      </c>
      <c r="C149">
        <f>'PSP Data'!C152</f>
        <v>0</v>
      </c>
      <c r="D149">
        <f>'PSP Data'!D152</f>
        <v>0</v>
      </c>
      <c r="E149">
        <f>'PSP Data'!E152</f>
        <v>0</v>
      </c>
      <c r="F149">
        <f>'PSP Data'!F152</f>
        <v>0</v>
      </c>
      <c r="G149">
        <f>'PSP Data'!G152</f>
        <v>0</v>
      </c>
      <c r="H149">
        <f>'PSP Data'!H152</f>
        <v>0</v>
      </c>
      <c r="I149">
        <f>'PSP Data'!I152</f>
        <v>0</v>
      </c>
      <c r="J149" s="29" t="e">
        <f t="shared" si="5"/>
        <v>#N/A</v>
      </c>
      <c r="K149" s="29" t="e">
        <f>IF(AND((A149&lt;'PSP Data'!$C$11),(A149&lt;&gt;0)),Analysis!C149,#N/A)</f>
        <v>#N/A</v>
      </c>
      <c r="L149" t="e">
        <f>IF(VLOOKUP(B149,Table1[],4)=0,"unknown", VLOOKUP(B149,Table1[],4))</f>
        <v>#N/A</v>
      </c>
      <c r="M149">
        <v>1</v>
      </c>
      <c r="N149" t="e">
        <f t="shared" si="6"/>
        <v>#N/A</v>
      </c>
      <c r="O149" t="str">
        <f t="shared" si="7"/>
        <v/>
      </c>
      <c r="P149" t="str">
        <f t="shared" si="8"/>
        <v/>
      </c>
      <c r="Q149" t="str">
        <f t="shared" si="9"/>
        <v/>
      </c>
      <c r="R149">
        <v>1</v>
      </c>
    </row>
    <row r="150" spans="1:18">
      <c r="A150">
        <f>'PSP Data'!A153</f>
        <v>0</v>
      </c>
      <c r="B150" t="str">
        <f>IF('PSP Data'!B153=0,"",'PSP Data'!B153)</f>
        <v/>
      </c>
      <c r="C150">
        <f>'PSP Data'!C153</f>
        <v>0</v>
      </c>
      <c r="D150">
        <f>'PSP Data'!D153</f>
        <v>0</v>
      </c>
      <c r="E150">
        <f>'PSP Data'!E153</f>
        <v>0</v>
      </c>
      <c r="F150">
        <f>'PSP Data'!F153</f>
        <v>0</v>
      </c>
      <c r="G150">
        <f>'PSP Data'!G153</f>
        <v>0</v>
      </c>
      <c r="H150">
        <f>'PSP Data'!H153</f>
        <v>0</v>
      </c>
      <c r="I150">
        <f>'PSP Data'!I153</f>
        <v>0</v>
      </c>
      <c r="J150" s="29" t="e">
        <f t="shared" ref="J150:J213" si="10">IF(C150&gt;=25,C150,#N/A)</f>
        <v>#N/A</v>
      </c>
      <c r="K150" s="29" t="e">
        <f>IF(AND((A150&lt;'PSP Data'!$C$11),(A150&lt;&gt;0)),Analysis!C150,#N/A)</f>
        <v>#N/A</v>
      </c>
      <c r="L150" t="e">
        <f>IF(VLOOKUP(B150,Table1[],4)=0,"unknown", VLOOKUP(B150,Table1[],4))</f>
        <v>#N/A</v>
      </c>
      <c r="M150">
        <v>1</v>
      </c>
      <c r="N150" t="e">
        <f t="shared" ref="N150:N213" si="11">IF(L150="timber",B150,"")</f>
        <v>#N/A</v>
      </c>
      <c r="O150" t="str">
        <f t="shared" ref="O150:O213" si="12">IF(D150="y",B150,"")</f>
        <v/>
      </c>
      <c r="P150" t="str">
        <f t="shared" ref="P150:P213" si="13">IF(F150="y",B150,"")</f>
        <v/>
      </c>
      <c r="Q150" t="str">
        <f t="shared" ref="Q150:Q213" si="14">IF(B150="","",ISNUMBER(FIND("Dead wood",B150:B1029)))</f>
        <v/>
      </c>
      <c r="R150">
        <v>1</v>
      </c>
    </row>
    <row r="151" spans="1:18">
      <c r="A151">
        <f>'PSP Data'!A154</f>
        <v>0</v>
      </c>
      <c r="B151" t="str">
        <f>IF('PSP Data'!B154=0,"",'PSP Data'!B154)</f>
        <v/>
      </c>
      <c r="C151">
        <f>'PSP Data'!C154</f>
        <v>0</v>
      </c>
      <c r="D151">
        <f>'PSP Data'!D154</f>
        <v>0</v>
      </c>
      <c r="E151">
        <f>'PSP Data'!E154</f>
        <v>0</v>
      </c>
      <c r="F151">
        <f>'PSP Data'!F154</f>
        <v>0</v>
      </c>
      <c r="G151">
        <f>'PSP Data'!G154</f>
        <v>0</v>
      </c>
      <c r="H151">
        <f>'PSP Data'!H154</f>
        <v>0</v>
      </c>
      <c r="I151">
        <f>'PSP Data'!I154</f>
        <v>0</v>
      </c>
      <c r="J151" s="29" t="e">
        <f t="shared" si="10"/>
        <v>#N/A</v>
      </c>
      <c r="K151" s="29" t="e">
        <f>IF(AND((A151&lt;'PSP Data'!$C$11),(A151&lt;&gt;0)),Analysis!C151,#N/A)</f>
        <v>#N/A</v>
      </c>
      <c r="L151" t="e">
        <f>IF(VLOOKUP(B151,Table1[],4)=0,"unknown", VLOOKUP(B151,Table1[],4))</f>
        <v>#N/A</v>
      </c>
      <c r="M151">
        <v>1</v>
      </c>
      <c r="N151" t="e">
        <f t="shared" si="11"/>
        <v>#N/A</v>
      </c>
      <c r="O151" t="str">
        <f t="shared" si="12"/>
        <v/>
      </c>
      <c r="P151" t="str">
        <f t="shared" si="13"/>
        <v/>
      </c>
      <c r="Q151" t="str">
        <f t="shared" si="14"/>
        <v/>
      </c>
      <c r="R151">
        <v>1</v>
      </c>
    </row>
    <row r="152" spans="1:18">
      <c r="A152">
        <f>'PSP Data'!A155</f>
        <v>0</v>
      </c>
      <c r="B152" t="str">
        <f>IF('PSP Data'!B155=0,"",'PSP Data'!B155)</f>
        <v/>
      </c>
      <c r="C152">
        <f>'PSP Data'!C155</f>
        <v>0</v>
      </c>
      <c r="D152">
        <f>'PSP Data'!D155</f>
        <v>0</v>
      </c>
      <c r="E152">
        <f>'PSP Data'!E155</f>
        <v>0</v>
      </c>
      <c r="F152">
        <f>'PSP Data'!F155</f>
        <v>0</v>
      </c>
      <c r="G152">
        <f>'PSP Data'!G155</f>
        <v>0</v>
      </c>
      <c r="H152">
        <f>'PSP Data'!H155</f>
        <v>0</v>
      </c>
      <c r="I152">
        <f>'PSP Data'!I155</f>
        <v>0</v>
      </c>
      <c r="J152" s="29" t="e">
        <f t="shared" si="10"/>
        <v>#N/A</v>
      </c>
      <c r="K152" s="29" t="e">
        <f>IF(AND((A152&lt;'PSP Data'!$C$11),(A152&lt;&gt;0)),Analysis!C152,#N/A)</f>
        <v>#N/A</v>
      </c>
      <c r="L152" t="e">
        <f>IF(VLOOKUP(B152,Table1[],4)=0,"unknown", VLOOKUP(B152,Table1[],4))</f>
        <v>#N/A</v>
      </c>
      <c r="M152">
        <v>1</v>
      </c>
      <c r="N152" t="e">
        <f t="shared" si="11"/>
        <v>#N/A</v>
      </c>
      <c r="O152" t="str">
        <f t="shared" si="12"/>
        <v/>
      </c>
      <c r="P152" t="str">
        <f t="shared" si="13"/>
        <v/>
      </c>
      <c r="Q152" t="str">
        <f t="shared" si="14"/>
        <v/>
      </c>
      <c r="R152">
        <v>1</v>
      </c>
    </row>
    <row r="153" spans="1:18">
      <c r="A153">
        <f>'PSP Data'!A156</f>
        <v>0</v>
      </c>
      <c r="B153" t="str">
        <f>IF('PSP Data'!B156=0,"",'PSP Data'!B156)</f>
        <v/>
      </c>
      <c r="C153">
        <f>'PSP Data'!C156</f>
        <v>0</v>
      </c>
      <c r="D153">
        <f>'PSP Data'!D156</f>
        <v>0</v>
      </c>
      <c r="E153">
        <f>'PSP Data'!E156</f>
        <v>0</v>
      </c>
      <c r="F153">
        <f>'PSP Data'!F156</f>
        <v>0</v>
      </c>
      <c r="G153">
        <f>'PSP Data'!G156</f>
        <v>0</v>
      </c>
      <c r="H153">
        <f>'PSP Data'!H156</f>
        <v>0</v>
      </c>
      <c r="I153">
        <f>'PSP Data'!I156</f>
        <v>0</v>
      </c>
      <c r="J153" s="29" t="e">
        <f t="shared" si="10"/>
        <v>#N/A</v>
      </c>
      <c r="K153" s="29" t="e">
        <f>IF(AND((A153&lt;'PSP Data'!$C$11),(A153&lt;&gt;0)),Analysis!C153,#N/A)</f>
        <v>#N/A</v>
      </c>
      <c r="L153" t="e">
        <f>IF(VLOOKUP(B153,Table1[],4)=0,"unknown", VLOOKUP(B153,Table1[],4))</f>
        <v>#N/A</v>
      </c>
      <c r="M153">
        <v>1</v>
      </c>
      <c r="N153" t="e">
        <f t="shared" si="11"/>
        <v>#N/A</v>
      </c>
      <c r="O153" t="str">
        <f t="shared" si="12"/>
        <v/>
      </c>
      <c r="P153" t="str">
        <f t="shared" si="13"/>
        <v/>
      </c>
      <c r="Q153" t="str">
        <f t="shared" si="14"/>
        <v/>
      </c>
      <c r="R153">
        <v>1</v>
      </c>
    </row>
    <row r="154" spans="1:18">
      <c r="A154">
        <f>'PSP Data'!A157</f>
        <v>0</v>
      </c>
      <c r="B154" t="str">
        <f>IF('PSP Data'!B157=0,"",'PSP Data'!B157)</f>
        <v/>
      </c>
      <c r="C154">
        <f>'PSP Data'!C157</f>
        <v>0</v>
      </c>
      <c r="D154">
        <f>'PSP Data'!D157</f>
        <v>0</v>
      </c>
      <c r="E154">
        <f>'PSP Data'!E157</f>
        <v>0</v>
      </c>
      <c r="F154">
        <f>'PSP Data'!F157</f>
        <v>0</v>
      </c>
      <c r="G154">
        <f>'PSP Data'!G157</f>
        <v>0</v>
      </c>
      <c r="H154">
        <f>'PSP Data'!H157</f>
        <v>0</v>
      </c>
      <c r="I154">
        <f>'PSP Data'!I157</f>
        <v>0</v>
      </c>
      <c r="J154" s="29" t="e">
        <f t="shared" si="10"/>
        <v>#N/A</v>
      </c>
      <c r="K154" s="29" t="e">
        <f>IF(AND((A154&lt;'PSP Data'!$C$11),(A154&lt;&gt;0)),Analysis!C154,#N/A)</f>
        <v>#N/A</v>
      </c>
      <c r="L154" t="e">
        <f>IF(VLOOKUP(B154,Table1[],4)=0,"unknown", VLOOKUP(B154,Table1[],4))</f>
        <v>#N/A</v>
      </c>
      <c r="M154">
        <v>1</v>
      </c>
      <c r="N154" t="e">
        <f t="shared" si="11"/>
        <v>#N/A</v>
      </c>
      <c r="O154" t="str">
        <f t="shared" si="12"/>
        <v/>
      </c>
      <c r="P154" t="str">
        <f t="shared" si="13"/>
        <v/>
      </c>
      <c r="Q154" t="str">
        <f t="shared" si="14"/>
        <v/>
      </c>
      <c r="R154">
        <v>1</v>
      </c>
    </row>
    <row r="155" spans="1:18">
      <c r="A155">
        <f>'PSP Data'!A158</f>
        <v>0</v>
      </c>
      <c r="B155" t="str">
        <f>IF('PSP Data'!B158=0,"",'PSP Data'!B158)</f>
        <v/>
      </c>
      <c r="C155">
        <f>'PSP Data'!C158</f>
        <v>0</v>
      </c>
      <c r="D155">
        <f>'PSP Data'!D158</f>
        <v>0</v>
      </c>
      <c r="E155">
        <f>'PSP Data'!E158</f>
        <v>0</v>
      </c>
      <c r="F155">
        <f>'PSP Data'!F158</f>
        <v>0</v>
      </c>
      <c r="G155">
        <f>'PSP Data'!G158</f>
        <v>0</v>
      </c>
      <c r="H155">
        <f>'PSP Data'!H158</f>
        <v>0</v>
      </c>
      <c r="I155">
        <f>'PSP Data'!I158</f>
        <v>0</v>
      </c>
      <c r="J155" s="29" t="e">
        <f t="shared" si="10"/>
        <v>#N/A</v>
      </c>
      <c r="K155" s="29" t="e">
        <f>IF(AND((A155&lt;'PSP Data'!$C$11),(A155&lt;&gt;0)),Analysis!C155,#N/A)</f>
        <v>#N/A</v>
      </c>
      <c r="L155" t="e">
        <f>IF(VLOOKUP(B155,Table1[],4)=0,"unknown", VLOOKUP(B155,Table1[],4))</f>
        <v>#N/A</v>
      </c>
      <c r="M155">
        <v>1</v>
      </c>
      <c r="N155" t="e">
        <f t="shared" si="11"/>
        <v>#N/A</v>
      </c>
      <c r="O155" t="str">
        <f t="shared" si="12"/>
        <v/>
      </c>
      <c r="P155" t="str">
        <f t="shared" si="13"/>
        <v/>
      </c>
      <c r="Q155" t="str">
        <f t="shared" si="14"/>
        <v/>
      </c>
      <c r="R155">
        <v>1</v>
      </c>
    </row>
    <row r="156" spans="1:18">
      <c r="A156">
        <f>'PSP Data'!A159</f>
        <v>0</v>
      </c>
      <c r="B156" t="str">
        <f>IF('PSP Data'!B159=0,"",'PSP Data'!B159)</f>
        <v/>
      </c>
      <c r="C156">
        <f>'PSP Data'!C159</f>
        <v>0</v>
      </c>
      <c r="D156">
        <f>'PSP Data'!D159</f>
        <v>0</v>
      </c>
      <c r="E156">
        <f>'PSP Data'!E159</f>
        <v>0</v>
      </c>
      <c r="F156">
        <f>'PSP Data'!F159</f>
        <v>0</v>
      </c>
      <c r="G156">
        <f>'PSP Data'!G159</f>
        <v>0</v>
      </c>
      <c r="H156">
        <f>'PSP Data'!H159</f>
        <v>0</v>
      </c>
      <c r="I156">
        <f>'PSP Data'!I159</f>
        <v>0</v>
      </c>
      <c r="J156" s="29" t="e">
        <f t="shared" si="10"/>
        <v>#N/A</v>
      </c>
      <c r="K156" s="29" t="e">
        <f>IF(AND((A156&lt;'PSP Data'!$C$11),(A156&lt;&gt;0)),Analysis!C156,#N/A)</f>
        <v>#N/A</v>
      </c>
      <c r="L156" t="e">
        <f>IF(VLOOKUP(B156,Table1[],4)=0,"unknown", VLOOKUP(B156,Table1[],4))</f>
        <v>#N/A</v>
      </c>
      <c r="M156">
        <v>1</v>
      </c>
      <c r="N156" t="e">
        <f t="shared" si="11"/>
        <v>#N/A</v>
      </c>
      <c r="O156" t="str">
        <f t="shared" si="12"/>
        <v/>
      </c>
      <c r="P156" t="str">
        <f t="shared" si="13"/>
        <v/>
      </c>
      <c r="Q156" t="str">
        <f t="shared" si="14"/>
        <v/>
      </c>
      <c r="R156">
        <v>1</v>
      </c>
    </row>
    <row r="157" spans="1:18">
      <c r="A157">
        <f>'PSP Data'!A160</f>
        <v>0</v>
      </c>
      <c r="B157" t="str">
        <f>IF('PSP Data'!B160=0,"",'PSP Data'!B160)</f>
        <v/>
      </c>
      <c r="C157">
        <f>'PSP Data'!C160</f>
        <v>0</v>
      </c>
      <c r="D157">
        <f>'PSP Data'!D160</f>
        <v>0</v>
      </c>
      <c r="E157">
        <f>'PSP Data'!E160</f>
        <v>0</v>
      </c>
      <c r="F157">
        <f>'PSP Data'!F160</f>
        <v>0</v>
      </c>
      <c r="G157">
        <f>'PSP Data'!G160</f>
        <v>0</v>
      </c>
      <c r="H157">
        <f>'PSP Data'!H160</f>
        <v>0</v>
      </c>
      <c r="I157">
        <f>'PSP Data'!I160</f>
        <v>0</v>
      </c>
      <c r="J157" s="29" t="e">
        <f t="shared" si="10"/>
        <v>#N/A</v>
      </c>
      <c r="K157" s="29" t="e">
        <f>IF(AND((A157&lt;'PSP Data'!$C$11),(A157&lt;&gt;0)),Analysis!C157,#N/A)</f>
        <v>#N/A</v>
      </c>
      <c r="L157" t="e">
        <f>IF(VLOOKUP(B157,Table1[],4)=0,"unknown", VLOOKUP(B157,Table1[],4))</f>
        <v>#N/A</v>
      </c>
      <c r="M157">
        <v>1</v>
      </c>
      <c r="N157" t="e">
        <f t="shared" si="11"/>
        <v>#N/A</v>
      </c>
      <c r="O157" t="str">
        <f t="shared" si="12"/>
        <v/>
      </c>
      <c r="P157" t="str">
        <f t="shared" si="13"/>
        <v/>
      </c>
      <c r="Q157" t="str">
        <f t="shared" si="14"/>
        <v/>
      </c>
      <c r="R157">
        <v>1</v>
      </c>
    </row>
    <row r="158" spans="1:18">
      <c r="A158">
        <f>'PSP Data'!A161</f>
        <v>0</v>
      </c>
      <c r="B158" t="str">
        <f>IF('PSP Data'!B161=0,"",'PSP Data'!B161)</f>
        <v/>
      </c>
      <c r="C158">
        <f>'PSP Data'!C161</f>
        <v>0</v>
      </c>
      <c r="D158">
        <f>'PSP Data'!D161</f>
        <v>0</v>
      </c>
      <c r="E158">
        <f>'PSP Data'!E161</f>
        <v>0</v>
      </c>
      <c r="F158">
        <f>'PSP Data'!F161</f>
        <v>0</v>
      </c>
      <c r="G158">
        <f>'PSP Data'!G161</f>
        <v>0</v>
      </c>
      <c r="H158">
        <f>'PSP Data'!H161</f>
        <v>0</v>
      </c>
      <c r="I158">
        <f>'PSP Data'!I161</f>
        <v>0</v>
      </c>
      <c r="J158" s="29" t="e">
        <f t="shared" si="10"/>
        <v>#N/A</v>
      </c>
      <c r="K158" s="29" t="e">
        <f>IF(AND((A158&lt;'PSP Data'!$C$11),(A158&lt;&gt;0)),Analysis!C158,#N/A)</f>
        <v>#N/A</v>
      </c>
      <c r="L158" t="e">
        <f>IF(VLOOKUP(B158,Table1[],4)=0,"unknown", VLOOKUP(B158,Table1[],4))</f>
        <v>#N/A</v>
      </c>
      <c r="M158">
        <v>1</v>
      </c>
      <c r="N158" t="e">
        <f t="shared" si="11"/>
        <v>#N/A</v>
      </c>
      <c r="O158" t="str">
        <f t="shared" si="12"/>
        <v/>
      </c>
      <c r="P158" t="str">
        <f t="shared" si="13"/>
        <v/>
      </c>
      <c r="Q158" t="str">
        <f t="shared" si="14"/>
        <v/>
      </c>
      <c r="R158">
        <v>1</v>
      </c>
    </row>
    <row r="159" spans="1:18">
      <c r="A159">
        <f>'PSP Data'!A162</f>
        <v>0</v>
      </c>
      <c r="B159" t="str">
        <f>IF('PSP Data'!B162=0,"",'PSP Data'!B162)</f>
        <v/>
      </c>
      <c r="C159">
        <f>'PSP Data'!C162</f>
        <v>0</v>
      </c>
      <c r="D159">
        <f>'PSP Data'!D162</f>
        <v>0</v>
      </c>
      <c r="E159">
        <f>'PSP Data'!E162</f>
        <v>0</v>
      </c>
      <c r="F159">
        <f>'PSP Data'!F162</f>
        <v>0</v>
      </c>
      <c r="G159">
        <f>'PSP Data'!G162</f>
        <v>0</v>
      </c>
      <c r="H159">
        <f>'PSP Data'!H162</f>
        <v>0</v>
      </c>
      <c r="I159">
        <f>'PSP Data'!I162</f>
        <v>0</v>
      </c>
      <c r="J159" s="29" t="e">
        <f t="shared" si="10"/>
        <v>#N/A</v>
      </c>
      <c r="K159" s="29" t="e">
        <f>IF(AND((A159&lt;'PSP Data'!$C$11),(A159&lt;&gt;0)),Analysis!C159,#N/A)</f>
        <v>#N/A</v>
      </c>
      <c r="L159" t="e">
        <f>IF(VLOOKUP(B159,Table1[],4)=0,"unknown", VLOOKUP(B159,Table1[],4))</f>
        <v>#N/A</v>
      </c>
      <c r="M159">
        <v>1</v>
      </c>
      <c r="N159" t="e">
        <f t="shared" si="11"/>
        <v>#N/A</v>
      </c>
      <c r="O159" t="str">
        <f t="shared" si="12"/>
        <v/>
      </c>
      <c r="P159" t="str">
        <f t="shared" si="13"/>
        <v/>
      </c>
      <c r="Q159" t="str">
        <f t="shared" si="14"/>
        <v/>
      </c>
      <c r="R159">
        <v>1</v>
      </c>
    </row>
    <row r="160" spans="1:18">
      <c r="A160">
        <f>'PSP Data'!A163</f>
        <v>0</v>
      </c>
      <c r="B160" t="str">
        <f>IF('PSP Data'!B163=0,"",'PSP Data'!B163)</f>
        <v/>
      </c>
      <c r="C160">
        <f>'PSP Data'!C163</f>
        <v>0</v>
      </c>
      <c r="D160">
        <f>'PSP Data'!D163</f>
        <v>0</v>
      </c>
      <c r="E160">
        <f>'PSP Data'!E163</f>
        <v>0</v>
      </c>
      <c r="F160">
        <f>'PSP Data'!F163</f>
        <v>0</v>
      </c>
      <c r="G160">
        <f>'PSP Data'!G163</f>
        <v>0</v>
      </c>
      <c r="H160">
        <f>'PSP Data'!H163</f>
        <v>0</v>
      </c>
      <c r="I160">
        <f>'PSP Data'!I163</f>
        <v>0</v>
      </c>
      <c r="J160" s="29" t="e">
        <f t="shared" si="10"/>
        <v>#N/A</v>
      </c>
      <c r="K160" s="29" t="e">
        <f>IF(AND((A160&lt;'PSP Data'!$C$11),(A160&lt;&gt;0)),Analysis!C160,#N/A)</f>
        <v>#N/A</v>
      </c>
      <c r="L160" t="e">
        <f>IF(VLOOKUP(B160,Table1[],4)=0,"unknown", VLOOKUP(B160,Table1[],4))</f>
        <v>#N/A</v>
      </c>
      <c r="M160">
        <v>1</v>
      </c>
      <c r="N160" t="e">
        <f t="shared" si="11"/>
        <v>#N/A</v>
      </c>
      <c r="O160" t="str">
        <f t="shared" si="12"/>
        <v/>
      </c>
      <c r="P160" t="str">
        <f t="shared" si="13"/>
        <v/>
      </c>
      <c r="Q160" t="str">
        <f t="shared" si="14"/>
        <v/>
      </c>
      <c r="R160">
        <v>1</v>
      </c>
    </row>
    <row r="161" spans="1:18">
      <c r="A161">
        <f>'PSP Data'!A164</f>
        <v>0</v>
      </c>
      <c r="B161" t="str">
        <f>IF('PSP Data'!B164=0,"",'PSP Data'!B164)</f>
        <v/>
      </c>
      <c r="C161">
        <f>'PSP Data'!C164</f>
        <v>0</v>
      </c>
      <c r="D161">
        <f>'PSP Data'!D164</f>
        <v>0</v>
      </c>
      <c r="E161">
        <f>'PSP Data'!E164</f>
        <v>0</v>
      </c>
      <c r="F161">
        <f>'PSP Data'!F164</f>
        <v>0</v>
      </c>
      <c r="G161">
        <f>'PSP Data'!G164</f>
        <v>0</v>
      </c>
      <c r="H161">
        <f>'PSP Data'!H164</f>
        <v>0</v>
      </c>
      <c r="I161">
        <f>'PSP Data'!I164</f>
        <v>0</v>
      </c>
      <c r="J161" s="29" t="e">
        <f t="shared" si="10"/>
        <v>#N/A</v>
      </c>
      <c r="K161" s="29" t="e">
        <f>IF(AND((A161&lt;'PSP Data'!$C$11),(A161&lt;&gt;0)),Analysis!C161,#N/A)</f>
        <v>#N/A</v>
      </c>
      <c r="L161" t="e">
        <f>IF(VLOOKUP(B161,Table1[],4)=0,"unknown", VLOOKUP(B161,Table1[],4))</f>
        <v>#N/A</v>
      </c>
      <c r="M161">
        <v>1</v>
      </c>
      <c r="N161" t="e">
        <f t="shared" si="11"/>
        <v>#N/A</v>
      </c>
      <c r="O161" t="str">
        <f t="shared" si="12"/>
        <v/>
      </c>
      <c r="P161" t="str">
        <f t="shared" si="13"/>
        <v/>
      </c>
      <c r="Q161" t="str">
        <f t="shared" si="14"/>
        <v/>
      </c>
      <c r="R161">
        <v>1</v>
      </c>
    </row>
    <row r="162" spans="1:18">
      <c r="A162">
        <f>'PSP Data'!A165</f>
        <v>0</v>
      </c>
      <c r="B162" t="str">
        <f>IF('PSP Data'!B165=0,"",'PSP Data'!B165)</f>
        <v/>
      </c>
      <c r="C162">
        <f>'PSP Data'!C165</f>
        <v>0</v>
      </c>
      <c r="D162">
        <f>'PSP Data'!D165</f>
        <v>0</v>
      </c>
      <c r="E162">
        <f>'PSP Data'!E165</f>
        <v>0</v>
      </c>
      <c r="F162">
        <f>'PSP Data'!F165</f>
        <v>0</v>
      </c>
      <c r="G162">
        <f>'PSP Data'!G165</f>
        <v>0</v>
      </c>
      <c r="H162">
        <f>'PSP Data'!H165</f>
        <v>0</v>
      </c>
      <c r="I162">
        <f>'PSP Data'!I165</f>
        <v>0</v>
      </c>
      <c r="J162" s="29" t="e">
        <f t="shared" si="10"/>
        <v>#N/A</v>
      </c>
      <c r="K162" s="29" t="e">
        <f>IF(AND((A162&lt;'PSP Data'!$C$11),(A162&lt;&gt;0)),Analysis!C162,#N/A)</f>
        <v>#N/A</v>
      </c>
      <c r="L162" t="e">
        <f>IF(VLOOKUP(B162,Table1[],4)=0,"unknown", VLOOKUP(B162,Table1[],4))</f>
        <v>#N/A</v>
      </c>
      <c r="M162">
        <v>1</v>
      </c>
      <c r="N162" t="e">
        <f t="shared" si="11"/>
        <v>#N/A</v>
      </c>
      <c r="O162" t="str">
        <f t="shared" si="12"/>
        <v/>
      </c>
      <c r="P162" t="str">
        <f t="shared" si="13"/>
        <v/>
      </c>
      <c r="Q162" t="str">
        <f t="shared" si="14"/>
        <v/>
      </c>
      <c r="R162">
        <v>1</v>
      </c>
    </row>
    <row r="163" spans="1:18">
      <c r="A163">
        <f>'PSP Data'!A166</f>
        <v>0</v>
      </c>
      <c r="B163" t="str">
        <f>IF('PSP Data'!B166=0,"",'PSP Data'!B166)</f>
        <v/>
      </c>
      <c r="C163">
        <f>'PSP Data'!C166</f>
        <v>0</v>
      </c>
      <c r="D163">
        <f>'PSP Data'!D166</f>
        <v>0</v>
      </c>
      <c r="E163">
        <f>'PSP Data'!E166</f>
        <v>0</v>
      </c>
      <c r="F163">
        <f>'PSP Data'!F166</f>
        <v>0</v>
      </c>
      <c r="G163">
        <f>'PSP Data'!G166</f>
        <v>0</v>
      </c>
      <c r="H163">
        <f>'PSP Data'!H166</f>
        <v>0</v>
      </c>
      <c r="I163">
        <f>'PSP Data'!I166</f>
        <v>0</v>
      </c>
      <c r="J163" s="29" t="e">
        <f t="shared" si="10"/>
        <v>#N/A</v>
      </c>
      <c r="K163" s="29" t="e">
        <f>IF(AND((A163&lt;'PSP Data'!$C$11),(A163&lt;&gt;0)),Analysis!C163,#N/A)</f>
        <v>#N/A</v>
      </c>
      <c r="L163" t="e">
        <f>IF(VLOOKUP(B163,Table1[],4)=0,"unknown", VLOOKUP(B163,Table1[],4))</f>
        <v>#N/A</v>
      </c>
      <c r="M163">
        <v>1</v>
      </c>
      <c r="N163" t="e">
        <f t="shared" si="11"/>
        <v>#N/A</v>
      </c>
      <c r="O163" t="str">
        <f t="shared" si="12"/>
        <v/>
      </c>
      <c r="P163" t="str">
        <f t="shared" si="13"/>
        <v/>
      </c>
      <c r="Q163" t="str">
        <f t="shared" si="14"/>
        <v/>
      </c>
      <c r="R163">
        <v>1</v>
      </c>
    </row>
    <row r="164" spans="1:18">
      <c r="A164">
        <f>'PSP Data'!A167</f>
        <v>0</v>
      </c>
      <c r="B164" t="str">
        <f>IF('PSP Data'!B167=0,"",'PSP Data'!B167)</f>
        <v/>
      </c>
      <c r="C164">
        <f>'PSP Data'!C167</f>
        <v>0</v>
      </c>
      <c r="D164">
        <f>'PSP Data'!D167</f>
        <v>0</v>
      </c>
      <c r="E164">
        <f>'PSP Data'!E167</f>
        <v>0</v>
      </c>
      <c r="F164">
        <f>'PSP Data'!F167</f>
        <v>0</v>
      </c>
      <c r="G164">
        <f>'PSP Data'!G167</f>
        <v>0</v>
      </c>
      <c r="H164">
        <f>'PSP Data'!H167</f>
        <v>0</v>
      </c>
      <c r="I164">
        <f>'PSP Data'!I167</f>
        <v>0</v>
      </c>
      <c r="J164" s="29" t="e">
        <f t="shared" si="10"/>
        <v>#N/A</v>
      </c>
      <c r="K164" s="29" t="e">
        <f>IF(AND((A164&lt;'PSP Data'!$C$11),(A164&lt;&gt;0)),Analysis!C164,#N/A)</f>
        <v>#N/A</v>
      </c>
      <c r="L164" t="e">
        <f>IF(VLOOKUP(B164,Table1[],4)=0,"unknown", VLOOKUP(B164,Table1[],4))</f>
        <v>#N/A</v>
      </c>
      <c r="M164">
        <v>1</v>
      </c>
      <c r="N164" t="e">
        <f t="shared" si="11"/>
        <v>#N/A</v>
      </c>
      <c r="O164" t="str">
        <f t="shared" si="12"/>
        <v/>
      </c>
      <c r="P164" t="str">
        <f t="shared" si="13"/>
        <v/>
      </c>
      <c r="Q164" t="str">
        <f t="shared" si="14"/>
        <v/>
      </c>
      <c r="R164">
        <v>1</v>
      </c>
    </row>
    <row r="165" spans="1:18">
      <c r="A165">
        <f>'PSP Data'!A168</f>
        <v>0</v>
      </c>
      <c r="B165" t="str">
        <f>IF('PSP Data'!B168=0,"",'PSP Data'!B168)</f>
        <v/>
      </c>
      <c r="C165">
        <f>'PSP Data'!C168</f>
        <v>0</v>
      </c>
      <c r="D165">
        <f>'PSP Data'!D168</f>
        <v>0</v>
      </c>
      <c r="E165">
        <f>'PSP Data'!E168</f>
        <v>0</v>
      </c>
      <c r="F165">
        <f>'PSP Data'!F168</f>
        <v>0</v>
      </c>
      <c r="G165">
        <f>'PSP Data'!G168</f>
        <v>0</v>
      </c>
      <c r="H165">
        <f>'PSP Data'!H168</f>
        <v>0</v>
      </c>
      <c r="I165">
        <f>'PSP Data'!I168</f>
        <v>0</v>
      </c>
      <c r="J165" s="29" t="e">
        <f t="shared" si="10"/>
        <v>#N/A</v>
      </c>
      <c r="K165" s="29" t="e">
        <f>IF(AND((A165&lt;'PSP Data'!$C$11),(A165&lt;&gt;0)),Analysis!C165,#N/A)</f>
        <v>#N/A</v>
      </c>
      <c r="L165" t="e">
        <f>IF(VLOOKUP(B165,Table1[],4)=0,"unknown", VLOOKUP(B165,Table1[],4))</f>
        <v>#N/A</v>
      </c>
      <c r="M165">
        <v>1</v>
      </c>
      <c r="N165" t="e">
        <f t="shared" si="11"/>
        <v>#N/A</v>
      </c>
      <c r="O165" t="str">
        <f t="shared" si="12"/>
        <v/>
      </c>
      <c r="P165" t="str">
        <f t="shared" si="13"/>
        <v/>
      </c>
      <c r="Q165" t="str">
        <f t="shared" si="14"/>
        <v/>
      </c>
      <c r="R165">
        <v>1</v>
      </c>
    </row>
    <row r="166" spans="1:18">
      <c r="A166">
        <f>'PSP Data'!A169</f>
        <v>0</v>
      </c>
      <c r="B166" t="str">
        <f>IF('PSP Data'!B169=0,"",'PSP Data'!B169)</f>
        <v/>
      </c>
      <c r="C166">
        <f>'PSP Data'!C169</f>
        <v>0</v>
      </c>
      <c r="D166">
        <f>'PSP Data'!D169</f>
        <v>0</v>
      </c>
      <c r="E166">
        <f>'PSP Data'!E169</f>
        <v>0</v>
      </c>
      <c r="F166">
        <f>'PSP Data'!F169</f>
        <v>0</v>
      </c>
      <c r="G166">
        <f>'PSP Data'!G169</f>
        <v>0</v>
      </c>
      <c r="H166">
        <f>'PSP Data'!H169</f>
        <v>0</v>
      </c>
      <c r="I166">
        <f>'PSP Data'!I169</f>
        <v>0</v>
      </c>
      <c r="J166" s="29" t="e">
        <f t="shared" si="10"/>
        <v>#N/A</v>
      </c>
      <c r="K166" s="29" t="e">
        <f>IF(AND((A166&lt;'PSP Data'!$C$11),(A166&lt;&gt;0)),Analysis!C166,#N/A)</f>
        <v>#N/A</v>
      </c>
      <c r="L166" t="e">
        <f>IF(VLOOKUP(B166,Table1[],4)=0,"unknown", VLOOKUP(B166,Table1[],4))</f>
        <v>#N/A</v>
      </c>
      <c r="M166">
        <v>1</v>
      </c>
      <c r="N166" t="e">
        <f t="shared" si="11"/>
        <v>#N/A</v>
      </c>
      <c r="O166" t="str">
        <f t="shared" si="12"/>
        <v/>
      </c>
      <c r="P166" t="str">
        <f t="shared" si="13"/>
        <v/>
      </c>
      <c r="Q166" t="str">
        <f t="shared" si="14"/>
        <v/>
      </c>
      <c r="R166">
        <v>1</v>
      </c>
    </row>
    <row r="167" spans="1:18">
      <c r="A167">
        <f>'PSP Data'!A170</f>
        <v>0</v>
      </c>
      <c r="B167" t="str">
        <f>IF('PSP Data'!B170=0,"",'PSP Data'!B170)</f>
        <v/>
      </c>
      <c r="C167">
        <f>'PSP Data'!C170</f>
        <v>0</v>
      </c>
      <c r="D167">
        <f>'PSP Data'!D170</f>
        <v>0</v>
      </c>
      <c r="E167">
        <f>'PSP Data'!E170</f>
        <v>0</v>
      </c>
      <c r="F167">
        <f>'PSP Data'!F170</f>
        <v>0</v>
      </c>
      <c r="G167">
        <f>'PSP Data'!G170</f>
        <v>0</v>
      </c>
      <c r="H167">
        <f>'PSP Data'!H170</f>
        <v>0</v>
      </c>
      <c r="I167">
        <f>'PSP Data'!I170</f>
        <v>0</v>
      </c>
      <c r="J167" s="29" t="e">
        <f t="shared" si="10"/>
        <v>#N/A</v>
      </c>
      <c r="K167" s="29" t="e">
        <f>IF(AND((A167&lt;'PSP Data'!$C$11),(A167&lt;&gt;0)),Analysis!C167,#N/A)</f>
        <v>#N/A</v>
      </c>
      <c r="L167" t="e">
        <f>IF(VLOOKUP(B167,Table1[],4)=0,"unknown", VLOOKUP(B167,Table1[],4))</f>
        <v>#N/A</v>
      </c>
      <c r="M167">
        <v>1</v>
      </c>
      <c r="N167" t="e">
        <f t="shared" si="11"/>
        <v>#N/A</v>
      </c>
      <c r="O167" t="str">
        <f t="shared" si="12"/>
        <v/>
      </c>
      <c r="P167" t="str">
        <f t="shared" si="13"/>
        <v/>
      </c>
      <c r="Q167" t="str">
        <f t="shared" si="14"/>
        <v/>
      </c>
      <c r="R167">
        <v>1</v>
      </c>
    </row>
    <row r="168" spans="1:18">
      <c r="A168">
        <f>'PSP Data'!A171</f>
        <v>0</v>
      </c>
      <c r="B168" t="str">
        <f>IF('PSP Data'!B171=0,"",'PSP Data'!B171)</f>
        <v/>
      </c>
      <c r="C168">
        <f>'PSP Data'!C171</f>
        <v>0</v>
      </c>
      <c r="D168">
        <f>'PSP Data'!D171</f>
        <v>0</v>
      </c>
      <c r="E168">
        <f>'PSP Data'!E171</f>
        <v>0</v>
      </c>
      <c r="F168">
        <f>'PSP Data'!F171</f>
        <v>0</v>
      </c>
      <c r="G168">
        <f>'PSP Data'!G171</f>
        <v>0</v>
      </c>
      <c r="H168">
        <f>'PSP Data'!H171</f>
        <v>0</v>
      </c>
      <c r="I168">
        <f>'PSP Data'!I171</f>
        <v>0</v>
      </c>
      <c r="J168" s="29" t="e">
        <f t="shared" si="10"/>
        <v>#N/A</v>
      </c>
      <c r="K168" s="29" t="e">
        <f>IF(AND((A168&lt;'PSP Data'!$C$11),(A168&lt;&gt;0)),Analysis!C168,#N/A)</f>
        <v>#N/A</v>
      </c>
      <c r="L168" t="e">
        <f>IF(VLOOKUP(B168,Table1[],4)=0,"unknown", VLOOKUP(B168,Table1[],4))</f>
        <v>#N/A</v>
      </c>
      <c r="M168">
        <v>1</v>
      </c>
      <c r="N168" t="e">
        <f t="shared" si="11"/>
        <v>#N/A</v>
      </c>
      <c r="O168" t="str">
        <f t="shared" si="12"/>
        <v/>
      </c>
      <c r="P168" t="str">
        <f t="shared" si="13"/>
        <v/>
      </c>
      <c r="Q168" t="str">
        <f t="shared" si="14"/>
        <v/>
      </c>
      <c r="R168">
        <v>1</v>
      </c>
    </row>
    <row r="169" spans="1:18">
      <c r="A169">
        <f>'PSP Data'!A172</f>
        <v>0</v>
      </c>
      <c r="B169" t="str">
        <f>IF('PSP Data'!B172=0,"",'PSP Data'!B172)</f>
        <v/>
      </c>
      <c r="C169">
        <f>'PSP Data'!C172</f>
        <v>0</v>
      </c>
      <c r="D169">
        <f>'PSP Data'!D172</f>
        <v>0</v>
      </c>
      <c r="E169">
        <f>'PSP Data'!E172</f>
        <v>0</v>
      </c>
      <c r="F169">
        <f>'PSP Data'!F172</f>
        <v>0</v>
      </c>
      <c r="G169">
        <f>'PSP Data'!G172</f>
        <v>0</v>
      </c>
      <c r="H169">
        <f>'PSP Data'!H172</f>
        <v>0</v>
      </c>
      <c r="I169">
        <f>'PSP Data'!I172</f>
        <v>0</v>
      </c>
      <c r="J169" s="29" t="e">
        <f t="shared" si="10"/>
        <v>#N/A</v>
      </c>
      <c r="K169" s="29" t="e">
        <f>IF(AND((A169&lt;'PSP Data'!$C$11),(A169&lt;&gt;0)),Analysis!C169,#N/A)</f>
        <v>#N/A</v>
      </c>
      <c r="L169" t="e">
        <f>IF(VLOOKUP(B169,Table1[],4)=0,"unknown", VLOOKUP(B169,Table1[],4))</f>
        <v>#N/A</v>
      </c>
      <c r="M169">
        <v>1</v>
      </c>
      <c r="N169" t="e">
        <f t="shared" si="11"/>
        <v>#N/A</v>
      </c>
      <c r="O169" t="str">
        <f t="shared" si="12"/>
        <v/>
      </c>
      <c r="P169" t="str">
        <f t="shared" si="13"/>
        <v/>
      </c>
      <c r="Q169" t="str">
        <f t="shared" si="14"/>
        <v/>
      </c>
      <c r="R169">
        <v>1</v>
      </c>
    </row>
    <row r="170" spans="1:18">
      <c r="A170">
        <f>'PSP Data'!A173</f>
        <v>0</v>
      </c>
      <c r="B170" t="str">
        <f>IF('PSP Data'!B173=0,"",'PSP Data'!B173)</f>
        <v/>
      </c>
      <c r="C170">
        <f>'PSP Data'!C173</f>
        <v>0</v>
      </c>
      <c r="D170">
        <f>'PSP Data'!D173</f>
        <v>0</v>
      </c>
      <c r="E170">
        <f>'PSP Data'!E173</f>
        <v>0</v>
      </c>
      <c r="F170">
        <f>'PSP Data'!F173</f>
        <v>0</v>
      </c>
      <c r="G170">
        <f>'PSP Data'!G173</f>
        <v>0</v>
      </c>
      <c r="H170">
        <f>'PSP Data'!H173</f>
        <v>0</v>
      </c>
      <c r="I170">
        <f>'PSP Data'!I173</f>
        <v>0</v>
      </c>
      <c r="J170" s="29" t="e">
        <f t="shared" si="10"/>
        <v>#N/A</v>
      </c>
      <c r="K170" s="29" t="e">
        <f>IF(AND((A170&lt;'PSP Data'!$C$11),(A170&lt;&gt;0)),Analysis!C170,#N/A)</f>
        <v>#N/A</v>
      </c>
      <c r="L170" t="e">
        <f>IF(VLOOKUP(B170,Table1[],4)=0,"unknown", VLOOKUP(B170,Table1[],4))</f>
        <v>#N/A</v>
      </c>
      <c r="M170">
        <v>1</v>
      </c>
      <c r="N170" t="e">
        <f t="shared" si="11"/>
        <v>#N/A</v>
      </c>
      <c r="O170" t="str">
        <f t="shared" si="12"/>
        <v/>
      </c>
      <c r="P170" t="str">
        <f t="shared" si="13"/>
        <v/>
      </c>
      <c r="Q170" t="str">
        <f t="shared" si="14"/>
        <v/>
      </c>
      <c r="R170">
        <v>1</v>
      </c>
    </row>
    <row r="171" spans="1:18">
      <c r="A171">
        <f>'PSP Data'!A174</f>
        <v>0</v>
      </c>
      <c r="B171" t="str">
        <f>IF('PSP Data'!B174=0,"",'PSP Data'!B174)</f>
        <v/>
      </c>
      <c r="C171">
        <f>'PSP Data'!C174</f>
        <v>0</v>
      </c>
      <c r="D171">
        <f>'PSP Data'!D174</f>
        <v>0</v>
      </c>
      <c r="E171">
        <f>'PSP Data'!E174</f>
        <v>0</v>
      </c>
      <c r="F171">
        <f>'PSP Data'!F174</f>
        <v>0</v>
      </c>
      <c r="G171">
        <f>'PSP Data'!G174</f>
        <v>0</v>
      </c>
      <c r="H171">
        <f>'PSP Data'!H174</f>
        <v>0</v>
      </c>
      <c r="I171">
        <f>'PSP Data'!I174</f>
        <v>0</v>
      </c>
      <c r="J171" s="29" t="e">
        <f t="shared" si="10"/>
        <v>#N/A</v>
      </c>
      <c r="K171" s="29" t="e">
        <f>IF(AND((A171&lt;'PSP Data'!$C$11),(A171&lt;&gt;0)),Analysis!C171,#N/A)</f>
        <v>#N/A</v>
      </c>
      <c r="L171" t="e">
        <f>IF(VLOOKUP(B171,Table1[],4)=0,"unknown", VLOOKUP(B171,Table1[],4))</f>
        <v>#N/A</v>
      </c>
      <c r="M171">
        <v>1</v>
      </c>
      <c r="N171" t="e">
        <f t="shared" si="11"/>
        <v>#N/A</v>
      </c>
      <c r="O171" t="str">
        <f t="shared" si="12"/>
        <v/>
      </c>
      <c r="P171" t="str">
        <f t="shared" si="13"/>
        <v/>
      </c>
      <c r="Q171" t="str">
        <f t="shared" si="14"/>
        <v/>
      </c>
      <c r="R171">
        <v>1</v>
      </c>
    </row>
    <row r="172" spans="1:18">
      <c r="A172">
        <f>'PSP Data'!A175</f>
        <v>0</v>
      </c>
      <c r="B172" t="str">
        <f>IF('PSP Data'!B175=0,"",'PSP Data'!B175)</f>
        <v/>
      </c>
      <c r="C172">
        <f>'PSP Data'!C175</f>
        <v>0</v>
      </c>
      <c r="D172">
        <f>'PSP Data'!D175</f>
        <v>0</v>
      </c>
      <c r="E172">
        <f>'PSP Data'!E175</f>
        <v>0</v>
      </c>
      <c r="F172">
        <f>'PSP Data'!F175</f>
        <v>0</v>
      </c>
      <c r="G172">
        <f>'PSP Data'!G175</f>
        <v>0</v>
      </c>
      <c r="H172">
        <f>'PSP Data'!H175</f>
        <v>0</v>
      </c>
      <c r="I172">
        <f>'PSP Data'!I175</f>
        <v>0</v>
      </c>
      <c r="J172" s="29" t="e">
        <f t="shared" si="10"/>
        <v>#N/A</v>
      </c>
      <c r="K172" s="29" t="e">
        <f>IF(AND((A172&lt;'PSP Data'!$C$11),(A172&lt;&gt;0)),Analysis!C172,#N/A)</f>
        <v>#N/A</v>
      </c>
      <c r="L172" t="e">
        <f>IF(VLOOKUP(B172,Table1[],4)=0,"unknown", VLOOKUP(B172,Table1[],4))</f>
        <v>#N/A</v>
      </c>
      <c r="M172">
        <v>1</v>
      </c>
      <c r="N172" t="e">
        <f t="shared" si="11"/>
        <v>#N/A</v>
      </c>
      <c r="O172" t="str">
        <f t="shared" si="12"/>
        <v/>
      </c>
      <c r="P172" t="str">
        <f t="shared" si="13"/>
        <v/>
      </c>
      <c r="Q172" t="str">
        <f t="shared" si="14"/>
        <v/>
      </c>
      <c r="R172">
        <v>1</v>
      </c>
    </row>
    <row r="173" spans="1:18">
      <c r="A173">
        <f>'PSP Data'!A176</f>
        <v>0</v>
      </c>
      <c r="B173" t="str">
        <f>IF('PSP Data'!B176=0,"",'PSP Data'!B176)</f>
        <v/>
      </c>
      <c r="C173">
        <f>'PSP Data'!C176</f>
        <v>0</v>
      </c>
      <c r="D173">
        <f>'PSP Data'!D176</f>
        <v>0</v>
      </c>
      <c r="E173">
        <f>'PSP Data'!E176</f>
        <v>0</v>
      </c>
      <c r="F173">
        <f>'PSP Data'!F176</f>
        <v>0</v>
      </c>
      <c r="G173">
        <f>'PSP Data'!G176</f>
        <v>0</v>
      </c>
      <c r="H173">
        <f>'PSP Data'!H176</f>
        <v>0</v>
      </c>
      <c r="I173">
        <f>'PSP Data'!I176</f>
        <v>0</v>
      </c>
      <c r="J173" s="29" t="e">
        <f t="shared" si="10"/>
        <v>#N/A</v>
      </c>
      <c r="K173" s="29" t="e">
        <f>IF(AND((A173&lt;'PSP Data'!$C$11),(A173&lt;&gt;0)),Analysis!C173,#N/A)</f>
        <v>#N/A</v>
      </c>
      <c r="L173" t="e">
        <f>IF(VLOOKUP(B173,Table1[],4)=0,"unknown", VLOOKUP(B173,Table1[],4))</f>
        <v>#N/A</v>
      </c>
      <c r="M173">
        <v>1</v>
      </c>
      <c r="N173" t="e">
        <f t="shared" si="11"/>
        <v>#N/A</v>
      </c>
      <c r="O173" t="str">
        <f t="shared" si="12"/>
        <v/>
      </c>
      <c r="P173" t="str">
        <f t="shared" si="13"/>
        <v/>
      </c>
      <c r="Q173" t="str">
        <f t="shared" si="14"/>
        <v/>
      </c>
      <c r="R173">
        <v>1</v>
      </c>
    </row>
    <row r="174" spans="1:18">
      <c r="A174">
        <f>'PSP Data'!A177</f>
        <v>0</v>
      </c>
      <c r="B174" t="str">
        <f>IF('PSP Data'!B177=0,"",'PSP Data'!B177)</f>
        <v/>
      </c>
      <c r="C174">
        <f>'PSP Data'!C177</f>
        <v>0</v>
      </c>
      <c r="D174">
        <f>'PSP Data'!D177</f>
        <v>0</v>
      </c>
      <c r="E174">
        <f>'PSP Data'!E177</f>
        <v>0</v>
      </c>
      <c r="F174">
        <f>'PSP Data'!F177</f>
        <v>0</v>
      </c>
      <c r="G174">
        <f>'PSP Data'!G177</f>
        <v>0</v>
      </c>
      <c r="H174">
        <f>'PSP Data'!H177</f>
        <v>0</v>
      </c>
      <c r="I174">
        <f>'PSP Data'!I177</f>
        <v>0</v>
      </c>
      <c r="J174" s="29" t="e">
        <f t="shared" si="10"/>
        <v>#N/A</v>
      </c>
      <c r="K174" s="29" t="e">
        <f>IF(AND((A174&lt;'PSP Data'!$C$11),(A174&lt;&gt;0)),Analysis!C174,#N/A)</f>
        <v>#N/A</v>
      </c>
      <c r="L174" t="e">
        <f>IF(VLOOKUP(B174,Table1[],4)=0,"unknown", VLOOKUP(B174,Table1[],4))</f>
        <v>#N/A</v>
      </c>
      <c r="M174">
        <v>1</v>
      </c>
      <c r="N174" t="e">
        <f t="shared" si="11"/>
        <v>#N/A</v>
      </c>
      <c r="O174" t="str">
        <f t="shared" si="12"/>
        <v/>
      </c>
      <c r="P174" t="str">
        <f t="shared" si="13"/>
        <v/>
      </c>
      <c r="Q174" t="str">
        <f t="shared" si="14"/>
        <v/>
      </c>
      <c r="R174">
        <v>1</v>
      </c>
    </row>
    <row r="175" spans="1:18">
      <c r="A175">
        <f>'PSP Data'!A178</f>
        <v>0</v>
      </c>
      <c r="B175" t="str">
        <f>IF('PSP Data'!B178=0,"",'PSP Data'!B178)</f>
        <v/>
      </c>
      <c r="C175">
        <f>'PSP Data'!C178</f>
        <v>0</v>
      </c>
      <c r="D175">
        <f>'PSP Data'!D178</f>
        <v>0</v>
      </c>
      <c r="E175">
        <f>'PSP Data'!E178</f>
        <v>0</v>
      </c>
      <c r="F175">
        <f>'PSP Data'!F178</f>
        <v>0</v>
      </c>
      <c r="G175">
        <f>'PSP Data'!G178</f>
        <v>0</v>
      </c>
      <c r="H175">
        <f>'PSP Data'!H178</f>
        <v>0</v>
      </c>
      <c r="I175">
        <f>'PSP Data'!I178</f>
        <v>0</v>
      </c>
      <c r="J175" s="29" t="e">
        <f t="shared" si="10"/>
        <v>#N/A</v>
      </c>
      <c r="K175" s="29" t="e">
        <f>IF(AND((A175&lt;'PSP Data'!$C$11),(A175&lt;&gt;0)),Analysis!C175,#N/A)</f>
        <v>#N/A</v>
      </c>
      <c r="L175" t="e">
        <f>IF(VLOOKUP(B175,Table1[],4)=0,"unknown", VLOOKUP(B175,Table1[],4))</f>
        <v>#N/A</v>
      </c>
      <c r="M175">
        <v>1</v>
      </c>
      <c r="N175" t="e">
        <f t="shared" si="11"/>
        <v>#N/A</v>
      </c>
      <c r="O175" t="str">
        <f t="shared" si="12"/>
        <v/>
      </c>
      <c r="P175" t="str">
        <f t="shared" si="13"/>
        <v/>
      </c>
      <c r="Q175" t="str">
        <f t="shared" si="14"/>
        <v/>
      </c>
      <c r="R175">
        <v>1</v>
      </c>
    </row>
    <row r="176" spans="1:18">
      <c r="A176">
        <f>'PSP Data'!A179</f>
        <v>0</v>
      </c>
      <c r="B176" t="str">
        <f>IF('PSP Data'!B179=0,"",'PSP Data'!B179)</f>
        <v/>
      </c>
      <c r="C176">
        <f>'PSP Data'!C179</f>
        <v>0</v>
      </c>
      <c r="D176">
        <f>'PSP Data'!D179</f>
        <v>0</v>
      </c>
      <c r="E176">
        <f>'PSP Data'!E179</f>
        <v>0</v>
      </c>
      <c r="F176">
        <f>'PSP Data'!F179</f>
        <v>0</v>
      </c>
      <c r="G176">
        <f>'PSP Data'!G179</f>
        <v>0</v>
      </c>
      <c r="H176">
        <f>'PSP Data'!H179</f>
        <v>0</v>
      </c>
      <c r="I176">
        <f>'PSP Data'!I179</f>
        <v>0</v>
      </c>
      <c r="J176" s="29" t="e">
        <f t="shared" si="10"/>
        <v>#N/A</v>
      </c>
      <c r="K176" s="29" t="e">
        <f>IF(AND((A176&lt;'PSP Data'!$C$11),(A176&lt;&gt;0)),Analysis!C176,#N/A)</f>
        <v>#N/A</v>
      </c>
      <c r="L176" t="e">
        <f>IF(VLOOKUP(B176,Table1[],4)=0,"unknown", VLOOKUP(B176,Table1[],4))</f>
        <v>#N/A</v>
      </c>
      <c r="M176">
        <v>1</v>
      </c>
      <c r="N176" t="e">
        <f t="shared" si="11"/>
        <v>#N/A</v>
      </c>
      <c r="O176" t="str">
        <f t="shared" si="12"/>
        <v/>
      </c>
      <c r="P176" t="str">
        <f t="shared" si="13"/>
        <v/>
      </c>
      <c r="Q176" t="str">
        <f t="shared" si="14"/>
        <v/>
      </c>
      <c r="R176">
        <v>1</v>
      </c>
    </row>
    <row r="177" spans="1:18">
      <c r="A177">
        <f>'PSP Data'!A180</f>
        <v>0</v>
      </c>
      <c r="B177" t="str">
        <f>IF('PSP Data'!B180=0,"",'PSP Data'!B180)</f>
        <v/>
      </c>
      <c r="C177">
        <f>'PSP Data'!C180</f>
        <v>0</v>
      </c>
      <c r="D177">
        <f>'PSP Data'!D180</f>
        <v>0</v>
      </c>
      <c r="E177">
        <f>'PSP Data'!E180</f>
        <v>0</v>
      </c>
      <c r="F177">
        <f>'PSP Data'!F180</f>
        <v>0</v>
      </c>
      <c r="G177">
        <f>'PSP Data'!G180</f>
        <v>0</v>
      </c>
      <c r="H177">
        <f>'PSP Data'!H180</f>
        <v>0</v>
      </c>
      <c r="I177">
        <f>'PSP Data'!I180</f>
        <v>0</v>
      </c>
      <c r="J177" s="29" t="e">
        <f t="shared" si="10"/>
        <v>#N/A</v>
      </c>
      <c r="K177" s="29" t="e">
        <f>IF(AND((A177&lt;'PSP Data'!$C$11),(A177&lt;&gt;0)),Analysis!C177,#N/A)</f>
        <v>#N/A</v>
      </c>
      <c r="L177" t="e">
        <f>IF(VLOOKUP(B177,Table1[],4)=0,"unknown", VLOOKUP(B177,Table1[],4))</f>
        <v>#N/A</v>
      </c>
      <c r="M177">
        <v>1</v>
      </c>
      <c r="N177" t="e">
        <f t="shared" si="11"/>
        <v>#N/A</v>
      </c>
      <c r="O177" t="str">
        <f t="shared" si="12"/>
        <v/>
      </c>
      <c r="P177" t="str">
        <f t="shared" si="13"/>
        <v/>
      </c>
      <c r="Q177" t="str">
        <f t="shared" si="14"/>
        <v/>
      </c>
      <c r="R177">
        <v>1</v>
      </c>
    </row>
    <row r="178" spans="1:18">
      <c r="A178">
        <f>'PSP Data'!A181</f>
        <v>0</v>
      </c>
      <c r="B178" t="str">
        <f>IF('PSP Data'!B181=0,"",'PSP Data'!B181)</f>
        <v/>
      </c>
      <c r="C178">
        <f>'PSP Data'!C181</f>
        <v>0</v>
      </c>
      <c r="D178">
        <f>'PSP Data'!D181</f>
        <v>0</v>
      </c>
      <c r="E178">
        <f>'PSP Data'!E181</f>
        <v>0</v>
      </c>
      <c r="F178">
        <f>'PSP Data'!F181</f>
        <v>0</v>
      </c>
      <c r="G178">
        <f>'PSP Data'!G181</f>
        <v>0</v>
      </c>
      <c r="H178">
        <f>'PSP Data'!H181</f>
        <v>0</v>
      </c>
      <c r="I178">
        <f>'PSP Data'!I181</f>
        <v>0</v>
      </c>
      <c r="J178" s="29" t="e">
        <f t="shared" si="10"/>
        <v>#N/A</v>
      </c>
      <c r="K178" s="29" t="e">
        <f>IF(AND((A178&lt;'PSP Data'!$C$11),(A178&lt;&gt;0)),Analysis!C178,#N/A)</f>
        <v>#N/A</v>
      </c>
      <c r="L178" t="e">
        <f>IF(VLOOKUP(B178,Table1[],4)=0,"unknown", VLOOKUP(B178,Table1[],4))</f>
        <v>#N/A</v>
      </c>
      <c r="M178">
        <v>1</v>
      </c>
      <c r="N178" t="e">
        <f t="shared" si="11"/>
        <v>#N/A</v>
      </c>
      <c r="O178" t="str">
        <f t="shared" si="12"/>
        <v/>
      </c>
      <c r="P178" t="str">
        <f t="shared" si="13"/>
        <v/>
      </c>
      <c r="Q178" t="str">
        <f t="shared" si="14"/>
        <v/>
      </c>
      <c r="R178">
        <v>1</v>
      </c>
    </row>
    <row r="179" spans="1:18">
      <c r="A179">
        <f>'PSP Data'!A182</f>
        <v>0</v>
      </c>
      <c r="B179" t="str">
        <f>IF('PSP Data'!B182=0,"",'PSP Data'!B182)</f>
        <v/>
      </c>
      <c r="C179">
        <f>'PSP Data'!C182</f>
        <v>0</v>
      </c>
      <c r="D179">
        <f>'PSP Data'!D182</f>
        <v>0</v>
      </c>
      <c r="E179">
        <f>'PSP Data'!E182</f>
        <v>0</v>
      </c>
      <c r="F179">
        <f>'PSP Data'!F182</f>
        <v>0</v>
      </c>
      <c r="G179">
        <f>'PSP Data'!G182</f>
        <v>0</v>
      </c>
      <c r="H179">
        <f>'PSP Data'!H182</f>
        <v>0</v>
      </c>
      <c r="I179">
        <f>'PSP Data'!I182</f>
        <v>0</v>
      </c>
      <c r="J179" s="29" t="e">
        <f t="shared" si="10"/>
        <v>#N/A</v>
      </c>
      <c r="K179" s="29" t="e">
        <f>IF(AND((A179&lt;'PSP Data'!$C$11),(A179&lt;&gt;0)),Analysis!C179,#N/A)</f>
        <v>#N/A</v>
      </c>
      <c r="L179" t="e">
        <f>IF(VLOOKUP(B179,Table1[],4)=0,"unknown", VLOOKUP(B179,Table1[],4))</f>
        <v>#N/A</v>
      </c>
      <c r="M179">
        <v>1</v>
      </c>
      <c r="N179" t="e">
        <f t="shared" si="11"/>
        <v>#N/A</v>
      </c>
      <c r="O179" t="str">
        <f t="shared" si="12"/>
        <v/>
      </c>
      <c r="P179" t="str">
        <f t="shared" si="13"/>
        <v/>
      </c>
      <c r="Q179" t="str">
        <f t="shared" si="14"/>
        <v/>
      </c>
      <c r="R179">
        <v>1</v>
      </c>
    </row>
    <row r="180" spans="1:18">
      <c r="A180">
        <f>'PSP Data'!A183</f>
        <v>0</v>
      </c>
      <c r="B180" t="str">
        <f>IF('PSP Data'!B183=0,"",'PSP Data'!B183)</f>
        <v/>
      </c>
      <c r="C180">
        <f>'PSP Data'!C183</f>
        <v>0</v>
      </c>
      <c r="D180">
        <f>'PSP Data'!D183</f>
        <v>0</v>
      </c>
      <c r="E180">
        <f>'PSP Data'!E183</f>
        <v>0</v>
      </c>
      <c r="F180">
        <f>'PSP Data'!F183</f>
        <v>0</v>
      </c>
      <c r="G180">
        <f>'PSP Data'!G183</f>
        <v>0</v>
      </c>
      <c r="H180">
        <f>'PSP Data'!H183</f>
        <v>0</v>
      </c>
      <c r="I180">
        <f>'PSP Data'!I183</f>
        <v>0</v>
      </c>
      <c r="J180" s="29" t="e">
        <f t="shared" si="10"/>
        <v>#N/A</v>
      </c>
      <c r="K180" s="29" t="e">
        <f>IF(AND((A180&lt;'PSP Data'!$C$11),(A180&lt;&gt;0)),Analysis!C180,#N/A)</f>
        <v>#N/A</v>
      </c>
      <c r="L180" t="e">
        <f>IF(VLOOKUP(B180,Table1[],4)=0,"unknown", VLOOKUP(B180,Table1[],4))</f>
        <v>#N/A</v>
      </c>
      <c r="M180">
        <v>1</v>
      </c>
      <c r="N180" t="e">
        <f t="shared" si="11"/>
        <v>#N/A</v>
      </c>
      <c r="O180" t="str">
        <f t="shared" si="12"/>
        <v/>
      </c>
      <c r="P180" t="str">
        <f t="shared" si="13"/>
        <v/>
      </c>
      <c r="Q180" t="str">
        <f t="shared" si="14"/>
        <v/>
      </c>
      <c r="R180">
        <v>1</v>
      </c>
    </row>
    <row r="181" spans="1:18">
      <c r="A181">
        <f>'PSP Data'!A184</f>
        <v>0</v>
      </c>
      <c r="B181" t="str">
        <f>IF('PSP Data'!B184=0,"",'PSP Data'!B184)</f>
        <v/>
      </c>
      <c r="C181">
        <f>'PSP Data'!C184</f>
        <v>0</v>
      </c>
      <c r="D181">
        <f>'PSP Data'!D184</f>
        <v>0</v>
      </c>
      <c r="E181">
        <f>'PSP Data'!E184</f>
        <v>0</v>
      </c>
      <c r="F181">
        <f>'PSP Data'!F184</f>
        <v>0</v>
      </c>
      <c r="G181">
        <f>'PSP Data'!G184</f>
        <v>0</v>
      </c>
      <c r="H181">
        <f>'PSP Data'!H184</f>
        <v>0</v>
      </c>
      <c r="I181">
        <f>'PSP Data'!I184</f>
        <v>0</v>
      </c>
      <c r="J181" s="29" t="e">
        <f t="shared" si="10"/>
        <v>#N/A</v>
      </c>
      <c r="K181" s="29" t="e">
        <f>IF(AND((A181&lt;'PSP Data'!$C$11),(A181&lt;&gt;0)),Analysis!C181,#N/A)</f>
        <v>#N/A</v>
      </c>
      <c r="L181" t="e">
        <f>IF(VLOOKUP(B181,Table1[],4)=0,"unknown", VLOOKUP(B181,Table1[],4))</f>
        <v>#N/A</v>
      </c>
      <c r="M181">
        <v>1</v>
      </c>
      <c r="N181" t="e">
        <f t="shared" si="11"/>
        <v>#N/A</v>
      </c>
      <c r="O181" t="str">
        <f t="shared" si="12"/>
        <v/>
      </c>
      <c r="P181" t="str">
        <f t="shared" si="13"/>
        <v/>
      </c>
      <c r="Q181" t="str">
        <f t="shared" si="14"/>
        <v/>
      </c>
      <c r="R181">
        <v>1</v>
      </c>
    </row>
    <row r="182" spans="1:18">
      <c r="A182">
        <f>'PSP Data'!A185</f>
        <v>0</v>
      </c>
      <c r="B182" t="str">
        <f>IF('PSP Data'!B185=0,"",'PSP Data'!B185)</f>
        <v/>
      </c>
      <c r="C182">
        <f>'PSP Data'!C185</f>
        <v>0</v>
      </c>
      <c r="D182">
        <f>'PSP Data'!D185</f>
        <v>0</v>
      </c>
      <c r="E182">
        <f>'PSP Data'!E185</f>
        <v>0</v>
      </c>
      <c r="F182">
        <f>'PSP Data'!F185</f>
        <v>0</v>
      </c>
      <c r="G182">
        <f>'PSP Data'!G185</f>
        <v>0</v>
      </c>
      <c r="H182">
        <f>'PSP Data'!H185</f>
        <v>0</v>
      </c>
      <c r="I182">
        <f>'PSP Data'!I185</f>
        <v>0</v>
      </c>
      <c r="J182" s="29" t="e">
        <f t="shared" si="10"/>
        <v>#N/A</v>
      </c>
      <c r="K182" s="29" t="e">
        <f>IF(AND((A182&lt;'PSP Data'!$C$11),(A182&lt;&gt;0)),Analysis!C182,#N/A)</f>
        <v>#N/A</v>
      </c>
      <c r="L182" t="e">
        <f>IF(VLOOKUP(B182,Table1[],4)=0,"unknown", VLOOKUP(B182,Table1[],4))</f>
        <v>#N/A</v>
      </c>
      <c r="M182">
        <v>1</v>
      </c>
      <c r="N182" t="e">
        <f t="shared" si="11"/>
        <v>#N/A</v>
      </c>
      <c r="O182" t="str">
        <f t="shared" si="12"/>
        <v/>
      </c>
      <c r="P182" t="str">
        <f t="shared" si="13"/>
        <v/>
      </c>
      <c r="Q182" t="str">
        <f t="shared" si="14"/>
        <v/>
      </c>
      <c r="R182">
        <v>1</v>
      </c>
    </row>
    <row r="183" spans="1:18">
      <c r="A183">
        <f>'PSP Data'!A186</f>
        <v>0</v>
      </c>
      <c r="B183" t="str">
        <f>IF('PSP Data'!B186=0,"",'PSP Data'!B186)</f>
        <v/>
      </c>
      <c r="C183">
        <f>'PSP Data'!C186</f>
        <v>0</v>
      </c>
      <c r="D183">
        <f>'PSP Data'!D186</f>
        <v>0</v>
      </c>
      <c r="E183">
        <f>'PSP Data'!E186</f>
        <v>0</v>
      </c>
      <c r="F183">
        <f>'PSP Data'!F186</f>
        <v>0</v>
      </c>
      <c r="G183">
        <f>'PSP Data'!G186</f>
        <v>0</v>
      </c>
      <c r="H183">
        <f>'PSP Data'!H186</f>
        <v>0</v>
      </c>
      <c r="I183">
        <f>'PSP Data'!I186</f>
        <v>0</v>
      </c>
      <c r="J183" s="29" t="e">
        <f t="shared" si="10"/>
        <v>#N/A</v>
      </c>
      <c r="K183" s="29" t="e">
        <f>IF(AND((A183&lt;'PSP Data'!$C$11),(A183&lt;&gt;0)),Analysis!C183,#N/A)</f>
        <v>#N/A</v>
      </c>
      <c r="L183" t="e">
        <f>IF(VLOOKUP(B183,Table1[],4)=0,"unknown", VLOOKUP(B183,Table1[],4))</f>
        <v>#N/A</v>
      </c>
      <c r="M183">
        <v>1</v>
      </c>
      <c r="N183" t="e">
        <f t="shared" si="11"/>
        <v>#N/A</v>
      </c>
      <c r="O183" t="str">
        <f t="shared" si="12"/>
        <v/>
      </c>
      <c r="P183" t="str">
        <f t="shared" si="13"/>
        <v/>
      </c>
      <c r="Q183" t="str">
        <f t="shared" si="14"/>
        <v/>
      </c>
      <c r="R183">
        <v>1</v>
      </c>
    </row>
    <row r="184" spans="1:18">
      <c r="A184">
        <f>'PSP Data'!A187</f>
        <v>0</v>
      </c>
      <c r="B184" t="str">
        <f>IF('PSP Data'!B187=0,"",'PSP Data'!B187)</f>
        <v/>
      </c>
      <c r="C184">
        <f>'PSP Data'!C187</f>
        <v>0</v>
      </c>
      <c r="D184">
        <f>'PSP Data'!D187</f>
        <v>0</v>
      </c>
      <c r="E184">
        <f>'PSP Data'!E187</f>
        <v>0</v>
      </c>
      <c r="F184">
        <f>'PSP Data'!F187</f>
        <v>0</v>
      </c>
      <c r="G184">
        <f>'PSP Data'!G187</f>
        <v>0</v>
      </c>
      <c r="H184">
        <f>'PSP Data'!H187</f>
        <v>0</v>
      </c>
      <c r="I184">
        <f>'PSP Data'!I187</f>
        <v>0</v>
      </c>
      <c r="J184" s="29" t="e">
        <f t="shared" si="10"/>
        <v>#N/A</v>
      </c>
      <c r="K184" s="29" t="e">
        <f>IF(AND((A184&lt;'PSP Data'!$C$11),(A184&lt;&gt;0)),Analysis!C184,#N/A)</f>
        <v>#N/A</v>
      </c>
      <c r="L184" t="e">
        <f>IF(VLOOKUP(B184,Table1[],4)=0,"unknown", VLOOKUP(B184,Table1[],4))</f>
        <v>#N/A</v>
      </c>
      <c r="M184">
        <v>1</v>
      </c>
      <c r="N184" t="e">
        <f t="shared" si="11"/>
        <v>#N/A</v>
      </c>
      <c r="O184" t="str">
        <f t="shared" si="12"/>
        <v/>
      </c>
      <c r="P184" t="str">
        <f t="shared" si="13"/>
        <v/>
      </c>
      <c r="Q184" t="str">
        <f t="shared" si="14"/>
        <v/>
      </c>
      <c r="R184">
        <v>1</v>
      </c>
    </row>
    <row r="185" spans="1:18">
      <c r="A185">
        <f>'PSP Data'!A188</f>
        <v>0</v>
      </c>
      <c r="B185" t="str">
        <f>IF('PSP Data'!B188=0,"",'PSP Data'!B188)</f>
        <v/>
      </c>
      <c r="C185">
        <f>'PSP Data'!C188</f>
        <v>0</v>
      </c>
      <c r="D185">
        <f>'PSP Data'!D188</f>
        <v>0</v>
      </c>
      <c r="E185">
        <f>'PSP Data'!E188</f>
        <v>0</v>
      </c>
      <c r="F185">
        <f>'PSP Data'!F188</f>
        <v>0</v>
      </c>
      <c r="G185">
        <f>'PSP Data'!G188</f>
        <v>0</v>
      </c>
      <c r="H185">
        <f>'PSP Data'!H188</f>
        <v>0</v>
      </c>
      <c r="I185">
        <f>'PSP Data'!I188</f>
        <v>0</v>
      </c>
      <c r="J185" s="29" t="e">
        <f t="shared" si="10"/>
        <v>#N/A</v>
      </c>
      <c r="K185" s="29" t="e">
        <f>IF(AND((A185&lt;'PSP Data'!$C$11),(A185&lt;&gt;0)),Analysis!C185,#N/A)</f>
        <v>#N/A</v>
      </c>
      <c r="L185" t="e">
        <f>IF(VLOOKUP(B185,Table1[],4)=0,"unknown", VLOOKUP(B185,Table1[],4))</f>
        <v>#N/A</v>
      </c>
      <c r="M185">
        <v>1</v>
      </c>
      <c r="N185" t="e">
        <f t="shared" si="11"/>
        <v>#N/A</v>
      </c>
      <c r="O185" t="str">
        <f t="shared" si="12"/>
        <v/>
      </c>
      <c r="P185" t="str">
        <f t="shared" si="13"/>
        <v/>
      </c>
      <c r="Q185" t="str">
        <f t="shared" si="14"/>
        <v/>
      </c>
      <c r="R185">
        <v>1</v>
      </c>
    </row>
    <row r="186" spans="1:18">
      <c r="A186">
        <f>'PSP Data'!A189</f>
        <v>0</v>
      </c>
      <c r="B186" t="str">
        <f>IF('PSP Data'!B189=0,"",'PSP Data'!B189)</f>
        <v/>
      </c>
      <c r="C186">
        <f>'PSP Data'!C189</f>
        <v>0</v>
      </c>
      <c r="D186">
        <f>'PSP Data'!D189</f>
        <v>0</v>
      </c>
      <c r="E186">
        <f>'PSP Data'!E189</f>
        <v>0</v>
      </c>
      <c r="F186">
        <f>'PSP Data'!F189</f>
        <v>0</v>
      </c>
      <c r="G186">
        <f>'PSP Data'!G189</f>
        <v>0</v>
      </c>
      <c r="H186">
        <f>'PSP Data'!H189</f>
        <v>0</v>
      </c>
      <c r="I186">
        <f>'PSP Data'!I189</f>
        <v>0</v>
      </c>
      <c r="J186" s="29" t="e">
        <f t="shared" si="10"/>
        <v>#N/A</v>
      </c>
      <c r="K186" s="29" t="e">
        <f>IF(AND((A186&lt;'PSP Data'!$C$11),(A186&lt;&gt;0)),Analysis!C186,#N/A)</f>
        <v>#N/A</v>
      </c>
      <c r="L186" t="e">
        <f>IF(VLOOKUP(B186,Table1[],4)=0,"unknown", VLOOKUP(B186,Table1[],4))</f>
        <v>#N/A</v>
      </c>
      <c r="M186">
        <v>1</v>
      </c>
      <c r="N186" t="e">
        <f t="shared" si="11"/>
        <v>#N/A</v>
      </c>
      <c r="O186" t="str">
        <f t="shared" si="12"/>
        <v/>
      </c>
      <c r="P186" t="str">
        <f t="shared" si="13"/>
        <v/>
      </c>
      <c r="Q186" t="str">
        <f t="shared" si="14"/>
        <v/>
      </c>
      <c r="R186">
        <v>1</v>
      </c>
    </row>
    <row r="187" spans="1:18">
      <c r="A187">
        <f>'PSP Data'!A190</f>
        <v>0</v>
      </c>
      <c r="B187" t="str">
        <f>IF('PSP Data'!B190=0,"",'PSP Data'!B190)</f>
        <v/>
      </c>
      <c r="C187">
        <f>'PSP Data'!C190</f>
        <v>0</v>
      </c>
      <c r="D187">
        <f>'PSP Data'!D190</f>
        <v>0</v>
      </c>
      <c r="E187">
        <f>'PSP Data'!E190</f>
        <v>0</v>
      </c>
      <c r="F187">
        <f>'PSP Data'!F190</f>
        <v>0</v>
      </c>
      <c r="G187">
        <f>'PSP Data'!G190</f>
        <v>0</v>
      </c>
      <c r="H187">
        <f>'PSP Data'!H190</f>
        <v>0</v>
      </c>
      <c r="I187">
        <f>'PSP Data'!I190</f>
        <v>0</v>
      </c>
      <c r="J187" s="29" t="e">
        <f t="shared" si="10"/>
        <v>#N/A</v>
      </c>
      <c r="K187" s="29" t="e">
        <f>IF(AND((A187&lt;'PSP Data'!$C$11),(A187&lt;&gt;0)),Analysis!C187,#N/A)</f>
        <v>#N/A</v>
      </c>
      <c r="L187" t="e">
        <f>IF(VLOOKUP(B187,Table1[],4)=0,"unknown", VLOOKUP(B187,Table1[],4))</f>
        <v>#N/A</v>
      </c>
      <c r="M187">
        <v>1</v>
      </c>
      <c r="N187" t="e">
        <f t="shared" si="11"/>
        <v>#N/A</v>
      </c>
      <c r="O187" t="str">
        <f t="shared" si="12"/>
        <v/>
      </c>
      <c r="P187" t="str">
        <f t="shared" si="13"/>
        <v/>
      </c>
      <c r="Q187" t="str">
        <f t="shared" si="14"/>
        <v/>
      </c>
      <c r="R187">
        <v>1</v>
      </c>
    </row>
    <row r="188" spans="1:18">
      <c r="A188">
        <f>'PSP Data'!A191</f>
        <v>0</v>
      </c>
      <c r="B188" t="str">
        <f>IF('PSP Data'!B191=0,"",'PSP Data'!B191)</f>
        <v/>
      </c>
      <c r="C188">
        <f>'PSP Data'!C191</f>
        <v>0</v>
      </c>
      <c r="D188">
        <f>'PSP Data'!D191</f>
        <v>0</v>
      </c>
      <c r="E188">
        <f>'PSP Data'!E191</f>
        <v>0</v>
      </c>
      <c r="F188">
        <f>'PSP Data'!F191</f>
        <v>0</v>
      </c>
      <c r="G188">
        <f>'PSP Data'!G191</f>
        <v>0</v>
      </c>
      <c r="H188">
        <f>'PSP Data'!H191</f>
        <v>0</v>
      </c>
      <c r="I188">
        <f>'PSP Data'!I191</f>
        <v>0</v>
      </c>
      <c r="J188" s="29" t="e">
        <f t="shared" si="10"/>
        <v>#N/A</v>
      </c>
      <c r="K188" s="29" t="e">
        <f>IF(AND((A188&lt;'PSP Data'!$C$11),(A188&lt;&gt;0)),Analysis!C188,#N/A)</f>
        <v>#N/A</v>
      </c>
      <c r="L188" t="e">
        <f>IF(VLOOKUP(B188,Table1[],4)=0,"unknown", VLOOKUP(B188,Table1[],4))</f>
        <v>#N/A</v>
      </c>
      <c r="M188">
        <v>1</v>
      </c>
      <c r="N188" t="e">
        <f t="shared" si="11"/>
        <v>#N/A</v>
      </c>
      <c r="O188" t="str">
        <f t="shared" si="12"/>
        <v/>
      </c>
      <c r="P188" t="str">
        <f t="shared" si="13"/>
        <v/>
      </c>
      <c r="Q188" t="str">
        <f t="shared" si="14"/>
        <v/>
      </c>
      <c r="R188">
        <v>1</v>
      </c>
    </row>
    <row r="189" spans="1:18">
      <c r="A189">
        <f>'PSP Data'!A192</f>
        <v>0</v>
      </c>
      <c r="B189" t="str">
        <f>IF('PSP Data'!B192=0,"",'PSP Data'!B192)</f>
        <v/>
      </c>
      <c r="C189">
        <f>'PSP Data'!C192</f>
        <v>0</v>
      </c>
      <c r="D189">
        <f>'PSP Data'!D192</f>
        <v>0</v>
      </c>
      <c r="E189">
        <f>'PSP Data'!E192</f>
        <v>0</v>
      </c>
      <c r="F189">
        <f>'PSP Data'!F192</f>
        <v>0</v>
      </c>
      <c r="G189">
        <f>'PSP Data'!G192</f>
        <v>0</v>
      </c>
      <c r="H189">
        <f>'PSP Data'!H192</f>
        <v>0</v>
      </c>
      <c r="I189">
        <f>'PSP Data'!I192</f>
        <v>0</v>
      </c>
      <c r="J189" s="29" t="e">
        <f t="shared" si="10"/>
        <v>#N/A</v>
      </c>
      <c r="K189" s="29" t="e">
        <f>IF(AND((A189&lt;'PSP Data'!$C$11),(A189&lt;&gt;0)),Analysis!C189,#N/A)</f>
        <v>#N/A</v>
      </c>
      <c r="L189" t="e">
        <f>IF(VLOOKUP(B189,Table1[],4)=0,"unknown", VLOOKUP(B189,Table1[],4))</f>
        <v>#N/A</v>
      </c>
      <c r="M189">
        <v>1</v>
      </c>
      <c r="N189" t="e">
        <f t="shared" si="11"/>
        <v>#N/A</v>
      </c>
      <c r="O189" t="str">
        <f t="shared" si="12"/>
        <v/>
      </c>
      <c r="P189" t="str">
        <f t="shared" si="13"/>
        <v/>
      </c>
      <c r="Q189" t="str">
        <f t="shared" si="14"/>
        <v/>
      </c>
      <c r="R189">
        <v>1</v>
      </c>
    </row>
    <row r="190" spans="1:18">
      <c r="A190">
        <f>'PSP Data'!A193</f>
        <v>0</v>
      </c>
      <c r="B190" t="str">
        <f>IF('PSP Data'!B193=0,"",'PSP Data'!B193)</f>
        <v/>
      </c>
      <c r="C190">
        <f>'PSP Data'!C193</f>
        <v>0</v>
      </c>
      <c r="D190">
        <f>'PSP Data'!D193</f>
        <v>0</v>
      </c>
      <c r="E190">
        <f>'PSP Data'!E193</f>
        <v>0</v>
      </c>
      <c r="F190">
        <f>'PSP Data'!F193</f>
        <v>0</v>
      </c>
      <c r="G190">
        <f>'PSP Data'!G193</f>
        <v>0</v>
      </c>
      <c r="H190">
        <f>'PSP Data'!H193</f>
        <v>0</v>
      </c>
      <c r="I190">
        <f>'PSP Data'!I193</f>
        <v>0</v>
      </c>
      <c r="J190" s="29" t="e">
        <f t="shared" si="10"/>
        <v>#N/A</v>
      </c>
      <c r="K190" s="29" t="e">
        <f>IF(AND((A190&lt;'PSP Data'!$C$11),(A190&lt;&gt;0)),Analysis!C190,#N/A)</f>
        <v>#N/A</v>
      </c>
      <c r="L190" t="e">
        <f>IF(VLOOKUP(B190,Table1[],4)=0,"unknown", VLOOKUP(B190,Table1[],4))</f>
        <v>#N/A</v>
      </c>
      <c r="M190">
        <v>1</v>
      </c>
      <c r="N190" t="e">
        <f t="shared" si="11"/>
        <v>#N/A</v>
      </c>
      <c r="O190" t="str">
        <f t="shared" si="12"/>
        <v/>
      </c>
      <c r="P190" t="str">
        <f t="shared" si="13"/>
        <v/>
      </c>
      <c r="Q190" t="str">
        <f t="shared" si="14"/>
        <v/>
      </c>
      <c r="R190">
        <v>1</v>
      </c>
    </row>
    <row r="191" spans="1:18">
      <c r="A191">
        <f>'PSP Data'!A194</f>
        <v>0</v>
      </c>
      <c r="B191" t="str">
        <f>IF('PSP Data'!B194=0,"",'PSP Data'!B194)</f>
        <v/>
      </c>
      <c r="C191">
        <f>'PSP Data'!C194</f>
        <v>0</v>
      </c>
      <c r="D191">
        <f>'PSP Data'!D194</f>
        <v>0</v>
      </c>
      <c r="E191">
        <f>'PSP Data'!E194</f>
        <v>0</v>
      </c>
      <c r="F191">
        <f>'PSP Data'!F194</f>
        <v>0</v>
      </c>
      <c r="G191">
        <f>'PSP Data'!G194</f>
        <v>0</v>
      </c>
      <c r="H191">
        <f>'PSP Data'!H194</f>
        <v>0</v>
      </c>
      <c r="I191">
        <f>'PSP Data'!I194</f>
        <v>0</v>
      </c>
      <c r="J191" s="29" t="e">
        <f t="shared" si="10"/>
        <v>#N/A</v>
      </c>
      <c r="K191" s="29" t="e">
        <f>IF(AND((A191&lt;'PSP Data'!$C$11),(A191&lt;&gt;0)),Analysis!C191,#N/A)</f>
        <v>#N/A</v>
      </c>
      <c r="L191" t="e">
        <f>IF(VLOOKUP(B191,Table1[],4)=0,"unknown", VLOOKUP(B191,Table1[],4))</f>
        <v>#N/A</v>
      </c>
      <c r="M191">
        <v>1</v>
      </c>
      <c r="N191" t="e">
        <f t="shared" si="11"/>
        <v>#N/A</v>
      </c>
      <c r="O191" t="str">
        <f t="shared" si="12"/>
        <v/>
      </c>
      <c r="P191" t="str">
        <f t="shared" si="13"/>
        <v/>
      </c>
      <c r="Q191" t="str">
        <f t="shared" si="14"/>
        <v/>
      </c>
      <c r="R191">
        <v>1</v>
      </c>
    </row>
    <row r="192" spans="1:18">
      <c r="A192">
        <f>'PSP Data'!A195</f>
        <v>0</v>
      </c>
      <c r="B192" t="str">
        <f>IF('PSP Data'!B195=0,"",'PSP Data'!B195)</f>
        <v/>
      </c>
      <c r="C192">
        <f>'PSP Data'!C195</f>
        <v>0</v>
      </c>
      <c r="D192">
        <f>'PSP Data'!D195</f>
        <v>0</v>
      </c>
      <c r="E192">
        <f>'PSP Data'!E195</f>
        <v>0</v>
      </c>
      <c r="F192">
        <f>'PSP Data'!F195</f>
        <v>0</v>
      </c>
      <c r="G192">
        <f>'PSP Data'!G195</f>
        <v>0</v>
      </c>
      <c r="H192">
        <f>'PSP Data'!H195</f>
        <v>0</v>
      </c>
      <c r="I192">
        <f>'PSP Data'!I195</f>
        <v>0</v>
      </c>
      <c r="J192" s="29" t="e">
        <f t="shared" si="10"/>
        <v>#N/A</v>
      </c>
      <c r="K192" s="29" t="e">
        <f>IF(AND((A192&lt;'PSP Data'!$C$11),(A192&lt;&gt;0)),Analysis!C192,#N/A)</f>
        <v>#N/A</v>
      </c>
      <c r="L192" t="e">
        <f>IF(VLOOKUP(B192,Table1[],4)=0,"unknown", VLOOKUP(B192,Table1[],4))</f>
        <v>#N/A</v>
      </c>
      <c r="M192">
        <v>1</v>
      </c>
      <c r="N192" t="e">
        <f t="shared" si="11"/>
        <v>#N/A</v>
      </c>
      <c r="O192" t="str">
        <f t="shared" si="12"/>
        <v/>
      </c>
      <c r="P192" t="str">
        <f t="shared" si="13"/>
        <v/>
      </c>
      <c r="Q192" t="str">
        <f t="shared" si="14"/>
        <v/>
      </c>
      <c r="R192">
        <v>1</v>
      </c>
    </row>
    <row r="193" spans="1:18">
      <c r="A193">
        <f>'PSP Data'!A196</f>
        <v>0</v>
      </c>
      <c r="B193" t="str">
        <f>IF('PSP Data'!B196=0,"",'PSP Data'!B196)</f>
        <v/>
      </c>
      <c r="C193">
        <f>'PSP Data'!C196</f>
        <v>0</v>
      </c>
      <c r="D193">
        <f>'PSP Data'!D196</f>
        <v>0</v>
      </c>
      <c r="E193">
        <f>'PSP Data'!E196</f>
        <v>0</v>
      </c>
      <c r="F193">
        <f>'PSP Data'!F196</f>
        <v>0</v>
      </c>
      <c r="G193">
        <f>'PSP Data'!G196</f>
        <v>0</v>
      </c>
      <c r="H193">
        <f>'PSP Data'!H196</f>
        <v>0</v>
      </c>
      <c r="I193">
        <f>'PSP Data'!I196</f>
        <v>0</v>
      </c>
      <c r="J193" s="29" t="e">
        <f t="shared" si="10"/>
        <v>#N/A</v>
      </c>
      <c r="K193" s="29" t="e">
        <f>IF(AND((A193&lt;'PSP Data'!$C$11),(A193&lt;&gt;0)),Analysis!C193,#N/A)</f>
        <v>#N/A</v>
      </c>
      <c r="L193" t="e">
        <f>IF(VLOOKUP(B193,Table1[],4)=0,"unknown", VLOOKUP(B193,Table1[],4))</f>
        <v>#N/A</v>
      </c>
      <c r="M193">
        <v>1</v>
      </c>
      <c r="N193" t="e">
        <f t="shared" si="11"/>
        <v>#N/A</v>
      </c>
      <c r="O193" t="str">
        <f t="shared" si="12"/>
        <v/>
      </c>
      <c r="P193" t="str">
        <f t="shared" si="13"/>
        <v/>
      </c>
      <c r="Q193" t="str">
        <f t="shared" si="14"/>
        <v/>
      </c>
      <c r="R193">
        <v>1</v>
      </c>
    </row>
    <row r="194" spans="1:18">
      <c r="A194">
        <f>'PSP Data'!A197</f>
        <v>0</v>
      </c>
      <c r="B194" t="str">
        <f>IF('PSP Data'!B197=0,"",'PSP Data'!B197)</f>
        <v/>
      </c>
      <c r="C194">
        <f>'PSP Data'!C197</f>
        <v>0</v>
      </c>
      <c r="D194">
        <f>'PSP Data'!D197</f>
        <v>0</v>
      </c>
      <c r="E194">
        <f>'PSP Data'!E197</f>
        <v>0</v>
      </c>
      <c r="F194">
        <f>'PSP Data'!F197</f>
        <v>0</v>
      </c>
      <c r="G194">
        <f>'PSP Data'!G197</f>
        <v>0</v>
      </c>
      <c r="H194">
        <f>'PSP Data'!H197</f>
        <v>0</v>
      </c>
      <c r="I194">
        <f>'PSP Data'!I197</f>
        <v>0</v>
      </c>
      <c r="J194" s="29" t="e">
        <f t="shared" si="10"/>
        <v>#N/A</v>
      </c>
      <c r="K194" s="29" t="e">
        <f>IF(AND((A194&lt;'PSP Data'!$C$11),(A194&lt;&gt;0)),Analysis!C194,#N/A)</f>
        <v>#N/A</v>
      </c>
      <c r="L194" t="e">
        <f>IF(VLOOKUP(B194,Table1[],4)=0,"unknown", VLOOKUP(B194,Table1[],4))</f>
        <v>#N/A</v>
      </c>
      <c r="M194">
        <v>1</v>
      </c>
      <c r="N194" t="e">
        <f t="shared" si="11"/>
        <v>#N/A</v>
      </c>
      <c r="O194" t="str">
        <f t="shared" si="12"/>
        <v/>
      </c>
      <c r="P194" t="str">
        <f t="shared" si="13"/>
        <v/>
      </c>
      <c r="Q194" t="str">
        <f t="shared" si="14"/>
        <v/>
      </c>
      <c r="R194">
        <v>1</v>
      </c>
    </row>
    <row r="195" spans="1:18">
      <c r="A195">
        <f>'PSP Data'!A198</f>
        <v>0</v>
      </c>
      <c r="B195" t="str">
        <f>IF('PSP Data'!B198=0,"",'PSP Data'!B198)</f>
        <v/>
      </c>
      <c r="C195">
        <f>'PSP Data'!C198</f>
        <v>0</v>
      </c>
      <c r="D195">
        <f>'PSP Data'!D198</f>
        <v>0</v>
      </c>
      <c r="E195">
        <f>'PSP Data'!E198</f>
        <v>0</v>
      </c>
      <c r="F195">
        <f>'PSP Data'!F198</f>
        <v>0</v>
      </c>
      <c r="G195">
        <f>'PSP Data'!G198</f>
        <v>0</v>
      </c>
      <c r="H195">
        <f>'PSP Data'!H198</f>
        <v>0</v>
      </c>
      <c r="I195">
        <f>'PSP Data'!I198</f>
        <v>0</v>
      </c>
      <c r="J195" s="29" t="e">
        <f t="shared" si="10"/>
        <v>#N/A</v>
      </c>
      <c r="K195" s="29" t="e">
        <f>IF(AND((A195&lt;'PSP Data'!$C$11),(A195&lt;&gt;0)),Analysis!C195,#N/A)</f>
        <v>#N/A</v>
      </c>
      <c r="L195" t="e">
        <f>IF(VLOOKUP(B195,Table1[],4)=0,"unknown", VLOOKUP(B195,Table1[],4))</f>
        <v>#N/A</v>
      </c>
      <c r="M195">
        <v>1</v>
      </c>
      <c r="N195" t="e">
        <f t="shared" si="11"/>
        <v>#N/A</v>
      </c>
      <c r="O195" t="str">
        <f t="shared" si="12"/>
        <v/>
      </c>
      <c r="P195" t="str">
        <f t="shared" si="13"/>
        <v/>
      </c>
      <c r="Q195" t="str">
        <f t="shared" si="14"/>
        <v/>
      </c>
      <c r="R195">
        <v>1</v>
      </c>
    </row>
    <row r="196" spans="1:18">
      <c r="A196">
        <f>'PSP Data'!A199</f>
        <v>0</v>
      </c>
      <c r="B196" t="str">
        <f>IF('PSP Data'!B199=0,"",'PSP Data'!B199)</f>
        <v/>
      </c>
      <c r="C196">
        <f>'PSP Data'!C199</f>
        <v>0</v>
      </c>
      <c r="D196">
        <f>'PSP Data'!D199</f>
        <v>0</v>
      </c>
      <c r="E196">
        <f>'PSP Data'!E199</f>
        <v>0</v>
      </c>
      <c r="F196">
        <f>'PSP Data'!F199</f>
        <v>0</v>
      </c>
      <c r="G196">
        <f>'PSP Data'!G199</f>
        <v>0</v>
      </c>
      <c r="H196">
        <f>'PSP Data'!H199</f>
        <v>0</v>
      </c>
      <c r="I196">
        <f>'PSP Data'!I199</f>
        <v>0</v>
      </c>
      <c r="J196" s="29" t="e">
        <f t="shared" si="10"/>
        <v>#N/A</v>
      </c>
      <c r="K196" s="29" t="e">
        <f>IF(AND((A196&lt;'PSP Data'!$C$11),(A196&lt;&gt;0)),Analysis!C196,#N/A)</f>
        <v>#N/A</v>
      </c>
      <c r="L196" t="e">
        <f>IF(VLOOKUP(B196,Table1[],4)=0,"unknown", VLOOKUP(B196,Table1[],4))</f>
        <v>#N/A</v>
      </c>
      <c r="M196">
        <v>1</v>
      </c>
      <c r="N196" t="e">
        <f t="shared" si="11"/>
        <v>#N/A</v>
      </c>
      <c r="O196" t="str">
        <f t="shared" si="12"/>
        <v/>
      </c>
      <c r="P196" t="str">
        <f t="shared" si="13"/>
        <v/>
      </c>
      <c r="Q196" t="str">
        <f t="shared" si="14"/>
        <v/>
      </c>
      <c r="R196">
        <v>1</v>
      </c>
    </row>
    <row r="197" spans="1:18">
      <c r="A197">
        <f>'PSP Data'!A200</f>
        <v>0</v>
      </c>
      <c r="B197" t="str">
        <f>IF('PSP Data'!B200=0,"",'PSP Data'!B200)</f>
        <v/>
      </c>
      <c r="C197">
        <f>'PSP Data'!C200</f>
        <v>0</v>
      </c>
      <c r="D197">
        <f>'PSP Data'!D200</f>
        <v>0</v>
      </c>
      <c r="E197">
        <f>'PSP Data'!E200</f>
        <v>0</v>
      </c>
      <c r="F197">
        <f>'PSP Data'!F200</f>
        <v>0</v>
      </c>
      <c r="G197">
        <f>'PSP Data'!G200</f>
        <v>0</v>
      </c>
      <c r="H197">
        <f>'PSP Data'!H200</f>
        <v>0</v>
      </c>
      <c r="I197">
        <f>'PSP Data'!I200</f>
        <v>0</v>
      </c>
      <c r="J197" s="29" t="e">
        <f t="shared" si="10"/>
        <v>#N/A</v>
      </c>
      <c r="K197" s="29" t="e">
        <f>IF(AND((A197&lt;'PSP Data'!$C$11),(A197&lt;&gt;0)),Analysis!C197,#N/A)</f>
        <v>#N/A</v>
      </c>
      <c r="L197" t="e">
        <f>IF(VLOOKUP(B197,Table1[],4)=0,"unknown", VLOOKUP(B197,Table1[],4))</f>
        <v>#N/A</v>
      </c>
      <c r="M197">
        <v>1</v>
      </c>
      <c r="N197" t="e">
        <f t="shared" si="11"/>
        <v>#N/A</v>
      </c>
      <c r="O197" t="str">
        <f t="shared" si="12"/>
        <v/>
      </c>
      <c r="P197" t="str">
        <f t="shared" si="13"/>
        <v/>
      </c>
      <c r="Q197" t="str">
        <f t="shared" si="14"/>
        <v/>
      </c>
      <c r="R197">
        <v>1</v>
      </c>
    </row>
    <row r="198" spans="1:18">
      <c r="A198">
        <f>'PSP Data'!A201</f>
        <v>0</v>
      </c>
      <c r="B198" t="str">
        <f>IF('PSP Data'!B201=0,"",'PSP Data'!B201)</f>
        <v/>
      </c>
      <c r="C198">
        <f>'PSP Data'!C201</f>
        <v>0</v>
      </c>
      <c r="D198">
        <f>'PSP Data'!D201</f>
        <v>0</v>
      </c>
      <c r="E198">
        <f>'PSP Data'!E201</f>
        <v>0</v>
      </c>
      <c r="F198">
        <f>'PSP Data'!F201</f>
        <v>0</v>
      </c>
      <c r="G198">
        <f>'PSP Data'!G201</f>
        <v>0</v>
      </c>
      <c r="H198">
        <f>'PSP Data'!H201</f>
        <v>0</v>
      </c>
      <c r="I198">
        <f>'PSP Data'!I201</f>
        <v>0</v>
      </c>
      <c r="J198" s="29" t="e">
        <f t="shared" si="10"/>
        <v>#N/A</v>
      </c>
      <c r="K198" s="29" t="e">
        <f>IF(AND((A198&lt;'PSP Data'!$C$11),(A198&lt;&gt;0)),Analysis!C198,#N/A)</f>
        <v>#N/A</v>
      </c>
      <c r="L198" t="e">
        <f>IF(VLOOKUP(B198,Table1[],4)=0,"unknown", VLOOKUP(B198,Table1[],4))</f>
        <v>#N/A</v>
      </c>
      <c r="M198">
        <v>1</v>
      </c>
      <c r="N198" t="e">
        <f t="shared" si="11"/>
        <v>#N/A</v>
      </c>
      <c r="O198" t="str">
        <f t="shared" si="12"/>
        <v/>
      </c>
      <c r="P198" t="str">
        <f t="shared" si="13"/>
        <v/>
      </c>
      <c r="Q198" t="str">
        <f t="shared" si="14"/>
        <v/>
      </c>
      <c r="R198">
        <v>1</v>
      </c>
    </row>
    <row r="199" spans="1:18">
      <c r="A199">
        <f>'PSP Data'!A202</f>
        <v>0</v>
      </c>
      <c r="B199" t="str">
        <f>IF('PSP Data'!B202=0,"",'PSP Data'!B202)</f>
        <v/>
      </c>
      <c r="C199">
        <f>'PSP Data'!C202</f>
        <v>0</v>
      </c>
      <c r="D199">
        <f>'PSP Data'!D202</f>
        <v>0</v>
      </c>
      <c r="E199">
        <f>'PSP Data'!E202</f>
        <v>0</v>
      </c>
      <c r="F199">
        <f>'PSP Data'!F202</f>
        <v>0</v>
      </c>
      <c r="G199">
        <f>'PSP Data'!G202</f>
        <v>0</v>
      </c>
      <c r="H199">
        <f>'PSP Data'!H202</f>
        <v>0</v>
      </c>
      <c r="I199">
        <f>'PSP Data'!I202</f>
        <v>0</v>
      </c>
      <c r="J199" s="29" t="e">
        <f t="shared" si="10"/>
        <v>#N/A</v>
      </c>
      <c r="K199" s="29" t="e">
        <f>IF(AND((A199&lt;'PSP Data'!$C$11),(A199&lt;&gt;0)),Analysis!C199,#N/A)</f>
        <v>#N/A</v>
      </c>
      <c r="L199" t="e">
        <f>IF(VLOOKUP(B199,Table1[],4)=0,"unknown", VLOOKUP(B199,Table1[],4))</f>
        <v>#N/A</v>
      </c>
      <c r="M199">
        <v>1</v>
      </c>
      <c r="N199" t="e">
        <f t="shared" si="11"/>
        <v>#N/A</v>
      </c>
      <c r="O199" t="str">
        <f t="shared" si="12"/>
        <v/>
      </c>
      <c r="P199" t="str">
        <f t="shared" si="13"/>
        <v/>
      </c>
      <c r="Q199" t="str">
        <f t="shared" si="14"/>
        <v/>
      </c>
      <c r="R199">
        <v>1</v>
      </c>
    </row>
    <row r="200" spans="1:18">
      <c r="A200">
        <f>'PSP Data'!A203</f>
        <v>0</v>
      </c>
      <c r="B200" t="str">
        <f>IF('PSP Data'!B203=0,"",'PSP Data'!B203)</f>
        <v/>
      </c>
      <c r="C200">
        <f>'PSP Data'!C203</f>
        <v>0</v>
      </c>
      <c r="D200">
        <f>'PSP Data'!D203</f>
        <v>0</v>
      </c>
      <c r="E200">
        <f>'PSP Data'!E203</f>
        <v>0</v>
      </c>
      <c r="F200">
        <f>'PSP Data'!F203</f>
        <v>0</v>
      </c>
      <c r="G200">
        <f>'PSP Data'!G203</f>
        <v>0</v>
      </c>
      <c r="H200">
        <f>'PSP Data'!H203</f>
        <v>0</v>
      </c>
      <c r="I200">
        <f>'PSP Data'!I203</f>
        <v>0</v>
      </c>
      <c r="J200" s="29" t="e">
        <f t="shared" si="10"/>
        <v>#N/A</v>
      </c>
      <c r="K200" s="29" t="e">
        <f>IF(AND((A200&lt;'PSP Data'!$C$11),(A200&lt;&gt;0)),Analysis!C200,#N/A)</f>
        <v>#N/A</v>
      </c>
      <c r="L200" t="e">
        <f>IF(VLOOKUP(B200,Table1[],4)=0,"unknown", VLOOKUP(B200,Table1[],4))</f>
        <v>#N/A</v>
      </c>
      <c r="M200">
        <v>1</v>
      </c>
      <c r="N200" t="e">
        <f t="shared" si="11"/>
        <v>#N/A</v>
      </c>
      <c r="O200" t="str">
        <f t="shared" si="12"/>
        <v/>
      </c>
      <c r="P200" t="str">
        <f t="shared" si="13"/>
        <v/>
      </c>
      <c r="Q200" t="str">
        <f t="shared" si="14"/>
        <v/>
      </c>
      <c r="R200">
        <v>1</v>
      </c>
    </row>
    <row r="201" spans="1:18">
      <c r="A201">
        <f>'PSP Data'!A204</f>
        <v>0</v>
      </c>
      <c r="B201" t="str">
        <f>IF('PSP Data'!B204=0,"",'PSP Data'!B204)</f>
        <v/>
      </c>
      <c r="C201">
        <f>'PSP Data'!C204</f>
        <v>0</v>
      </c>
      <c r="D201">
        <f>'PSP Data'!D204</f>
        <v>0</v>
      </c>
      <c r="E201">
        <f>'PSP Data'!E204</f>
        <v>0</v>
      </c>
      <c r="F201">
        <f>'PSP Data'!F204</f>
        <v>0</v>
      </c>
      <c r="G201">
        <f>'PSP Data'!G204</f>
        <v>0</v>
      </c>
      <c r="H201">
        <f>'PSP Data'!H204</f>
        <v>0</v>
      </c>
      <c r="I201">
        <f>'PSP Data'!I204</f>
        <v>0</v>
      </c>
      <c r="J201" s="29" t="e">
        <f t="shared" si="10"/>
        <v>#N/A</v>
      </c>
      <c r="K201" s="29" t="e">
        <f>IF(AND((A201&lt;'PSP Data'!$C$11),(A201&lt;&gt;0)),Analysis!C201,#N/A)</f>
        <v>#N/A</v>
      </c>
      <c r="L201" t="e">
        <f>IF(VLOOKUP(B201,Table1[],4)=0,"unknown", VLOOKUP(B201,Table1[],4))</f>
        <v>#N/A</v>
      </c>
      <c r="M201">
        <v>1</v>
      </c>
      <c r="N201" t="e">
        <f t="shared" si="11"/>
        <v>#N/A</v>
      </c>
      <c r="O201" t="str">
        <f t="shared" si="12"/>
        <v/>
      </c>
      <c r="P201" t="str">
        <f t="shared" si="13"/>
        <v/>
      </c>
      <c r="Q201" t="str">
        <f t="shared" si="14"/>
        <v/>
      </c>
      <c r="R201">
        <v>1</v>
      </c>
    </row>
    <row r="202" spans="1:18">
      <c r="A202">
        <f>'PSP Data'!A205</f>
        <v>0</v>
      </c>
      <c r="B202" t="str">
        <f>IF('PSP Data'!B205=0,"",'PSP Data'!B205)</f>
        <v/>
      </c>
      <c r="C202">
        <f>'PSP Data'!C205</f>
        <v>0</v>
      </c>
      <c r="D202">
        <f>'PSP Data'!D205</f>
        <v>0</v>
      </c>
      <c r="E202">
        <f>'PSP Data'!E205</f>
        <v>0</v>
      </c>
      <c r="F202">
        <f>'PSP Data'!F205</f>
        <v>0</v>
      </c>
      <c r="G202">
        <f>'PSP Data'!G205</f>
        <v>0</v>
      </c>
      <c r="H202">
        <f>'PSP Data'!H205</f>
        <v>0</v>
      </c>
      <c r="I202">
        <f>'PSP Data'!I205</f>
        <v>0</v>
      </c>
      <c r="J202" s="29" t="e">
        <f t="shared" si="10"/>
        <v>#N/A</v>
      </c>
      <c r="K202" s="29" t="e">
        <f>IF(AND((A202&lt;'PSP Data'!$C$11),(A202&lt;&gt;0)),Analysis!C202,#N/A)</f>
        <v>#N/A</v>
      </c>
      <c r="L202" t="e">
        <f>IF(VLOOKUP(B202,Table1[],4)=0,"unknown", VLOOKUP(B202,Table1[],4))</f>
        <v>#N/A</v>
      </c>
      <c r="M202">
        <v>1</v>
      </c>
      <c r="N202" t="e">
        <f t="shared" si="11"/>
        <v>#N/A</v>
      </c>
      <c r="O202" t="str">
        <f t="shared" si="12"/>
        <v/>
      </c>
      <c r="P202" t="str">
        <f t="shared" si="13"/>
        <v/>
      </c>
      <c r="Q202" t="str">
        <f t="shared" si="14"/>
        <v/>
      </c>
      <c r="R202">
        <v>1</v>
      </c>
    </row>
    <row r="203" spans="1:18">
      <c r="A203">
        <f>'PSP Data'!A206</f>
        <v>0</v>
      </c>
      <c r="B203" t="str">
        <f>IF('PSP Data'!B206=0,"",'PSP Data'!B206)</f>
        <v/>
      </c>
      <c r="C203">
        <f>'PSP Data'!C206</f>
        <v>0</v>
      </c>
      <c r="D203">
        <f>'PSP Data'!D206</f>
        <v>0</v>
      </c>
      <c r="E203">
        <f>'PSP Data'!E206</f>
        <v>0</v>
      </c>
      <c r="F203">
        <f>'PSP Data'!F206</f>
        <v>0</v>
      </c>
      <c r="G203">
        <f>'PSP Data'!G206</f>
        <v>0</v>
      </c>
      <c r="H203">
        <f>'PSP Data'!H206</f>
        <v>0</v>
      </c>
      <c r="I203">
        <f>'PSP Data'!I206</f>
        <v>0</v>
      </c>
      <c r="J203" s="29" t="e">
        <f t="shared" si="10"/>
        <v>#N/A</v>
      </c>
      <c r="K203" s="29" t="e">
        <f>IF(AND((A203&lt;'PSP Data'!$C$11),(A203&lt;&gt;0)),Analysis!C203,#N/A)</f>
        <v>#N/A</v>
      </c>
      <c r="L203" t="e">
        <f>IF(VLOOKUP(B203,Table1[],4)=0,"unknown", VLOOKUP(B203,Table1[],4))</f>
        <v>#N/A</v>
      </c>
      <c r="M203">
        <v>1</v>
      </c>
      <c r="N203" t="e">
        <f t="shared" si="11"/>
        <v>#N/A</v>
      </c>
      <c r="O203" t="str">
        <f t="shared" si="12"/>
        <v/>
      </c>
      <c r="P203" t="str">
        <f t="shared" si="13"/>
        <v/>
      </c>
      <c r="Q203" t="str">
        <f t="shared" si="14"/>
        <v/>
      </c>
      <c r="R203">
        <v>1</v>
      </c>
    </row>
    <row r="204" spans="1:18">
      <c r="A204">
        <f>'PSP Data'!A207</f>
        <v>0</v>
      </c>
      <c r="B204" t="str">
        <f>IF('PSP Data'!B207=0,"",'PSP Data'!B207)</f>
        <v/>
      </c>
      <c r="C204">
        <f>'PSP Data'!C207</f>
        <v>0</v>
      </c>
      <c r="D204">
        <f>'PSP Data'!D207</f>
        <v>0</v>
      </c>
      <c r="E204">
        <f>'PSP Data'!E207</f>
        <v>0</v>
      </c>
      <c r="F204">
        <f>'PSP Data'!F207</f>
        <v>0</v>
      </c>
      <c r="G204">
        <f>'PSP Data'!G207</f>
        <v>0</v>
      </c>
      <c r="H204">
        <f>'PSP Data'!H207</f>
        <v>0</v>
      </c>
      <c r="I204">
        <f>'PSP Data'!I207</f>
        <v>0</v>
      </c>
      <c r="J204" s="29" t="e">
        <f t="shared" si="10"/>
        <v>#N/A</v>
      </c>
      <c r="K204" s="29" t="e">
        <f>IF(AND((A204&lt;'PSP Data'!$C$11),(A204&lt;&gt;0)),Analysis!C204,#N/A)</f>
        <v>#N/A</v>
      </c>
      <c r="L204" t="e">
        <f>IF(VLOOKUP(B204,Table1[],4)=0,"unknown", VLOOKUP(B204,Table1[],4))</f>
        <v>#N/A</v>
      </c>
      <c r="M204">
        <v>1</v>
      </c>
      <c r="N204" t="e">
        <f t="shared" si="11"/>
        <v>#N/A</v>
      </c>
      <c r="O204" t="str">
        <f t="shared" si="12"/>
        <v/>
      </c>
      <c r="P204" t="str">
        <f t="shared" si="13"/>
        <v/>
      </c>
      <c r="Q204" t="str">
        <f t="shared" si="14"/>
        <v/>
      </c>
      <c r="R204">
        <v>1</v>
      </c>
    </row>
    <row r="205" spans="1:18">
      <c r="A205">
        <f>'PSP Data'!A208</f>
        <v>0</v>
      </c>
      <c r="B205" t="str">
        <f>IF('PSP Data'!B208=0,"",'PSP Data'!B208)</f>
        <v/>
      </c>
      <c r="C205">
        <f>'PSP Data'!C208</f>
        <v>0</v>
      </c>
      <c r="D205">
        <f>'PSP Data'!D208</f>
        <v>0</v>
      </c>
      <c r="E205">
        <f>'PSP Data'!E208</f>
        <v>0</v>
      </c>
      <c r="F205">
        <f>'PSP Data'!F208</f>
        <v>0</v>
      </c>
      <c r="G205">
        <f>'PSP Data'!G208</f>
        <v>0</v>
      </c>
      <c r="H205">
        <f>'PSP Data'!H208</f>
        <v>0</v>
      </c>
      <c r="I205">
        <f>'PSP Data'!I208</f>
        <v>0</v>
      </c>
      <c r="J205" s="29" t="e">
        <f t="shared" si="10"/>
        <v>#N/A</v>
      </c>
      <c r="K205" s="29" t="e">
        <f>IF(AND((A205&lt;'PSP Data'!$C$11),(A205&lt;&gt;0)),Analysis!C205,#N/A)</f>
        <v>#N/A</v>
      </c>
      <c r="L205" t="e">
        <f>IF(VLOOKUP(B205,Table1[],4)=0,"unknown", VLOOKUP(B205,Table1[],4))</f>
        <v>#N/A</v>
      </c>
      <c r="M205">
        <v>1</v>
      </c>
      <c r="N205" t="e">
        <f t="shared" si="11"/>
        <v>#N/A</v>
      </c>
      <c r="O205" t="str">
        <f t="shared" si="12"/>
        <v/>
      </c>
      <c r="P205" t="str">
        <f t="shared" si="13"/>
        <v/>
      </c>
      <c r="Q205" t="str">
        <f t="shared" si="14"/>
        <v/>
      </c>
      <c r="R205">
        <v>1</v>
      </c>
    </row>
    <row r="206" spans="1:18">
      <c r="A206">
        <f>'PSP Data'!A209</f>
        <v>0</v>
      </c>
      <c r="B206" t="str">
        <f>IF('PSP Data'!B209=0,"",'PSP Data'!B209)</f>
        <v/>
      </c>
      <c r="C206">
        <f>'PSP Data'!C209</f>
        <v>0</v>
      </c>
      <c r="D206">
        <f>'PSP Data'!D209</f>
        <v>0</v>
      </c>
      <c r="E206">
        <f>'PSP Data'!E209</f>
        <v>0</v>
      </c>
      <c r="F206">
        <f>'PSP Data'!F209</f>
        <v>0</v>
      </c>
      <c r="G206">
        <f>'PSP Data'!G209</f>
        <v>0</v>
      </c>
      <c r="H206">
        <f>'PSP Data'!H209</f>
        <v>0</v>
      </c>
      <c r="I206">
        <f>'PSP Data'!I209</f>
        <v>0</v>
      </c>
      <c r="J206" s="29" t="e">
        <f t="shared" si="10"/>
        <v>#N/A</v>
      </c>
      <c r="K206" s="29" t="e">
        <f>IF(AND((A206&lt;'PSP Data'!$C$11),(A206&lt;&gt;0)),Analysis!C206,#N/A)</f>
        <v>#N/A</v>
      </c>
      <c r="L206" t="e">
        <f>IF(VLOOKUP(B206,Table1[],4)=0,"unknown", VLOOKUP(B206,Table1[],4))</f>
        <v>#N/A</v>
      </c>
      <c r="M206">
        <v>1</v>
      </c>
      <c r="N206" t="e">
        <f t="shared" si="11"/>
        <v>#N/A</v>
      </c>
      <c r="O206" t="str">
        <f t="shared" si="12"/>
        <v/>
      </c>
      <c r="P206" t="str">
        <f t="shared" si="13"/>
        <v/>
      </c>
      <c r="Q206" t="str">
        <f t="shared" si="14"/>
        <v/>
      </c>
      <c r="R206">
        <v>1</v>
      </c>
    </row>
    <row r="207" spans="1:18">
      <c r="A207">
        <f>'PSP Data'!A210</f>
        <v>0</v>
      </c>
      <c r="B207" t="str">
        <f>IF('PSP Data'!B210=0,"",'PSP Data'!B210)</f>
        <v/>
      </c>
      <c r="C207">
        <f>'PSP Data'!C210</f>
        <v>0</v>
      </c>
      <c r="D207">
        <f>'PSP Data'!D210</f>
        <v>0</v>
      </c>
      <c r="E207">
        <f>'PSP Data'!E210</f>
        <v>0</v>
      </c>
      <c r="F207">
        <f>'PSP Data'!F210</f>
        <v>0</v>
      </c>
      <c r="G207">
        <f>'PSP Data'!G210</f>
        <v>0</v>
      </c>
      <c r="H207">
        <f>'PSP Data'!H210</f>
        <v>0</v>
      </c>
      <c r="I207">
        <f>'PSP Data'!I210</f>
        <v>0</v>
      </c>
      <c r="J207" s="29" t="e">
        <f t="shared" si="10"/>
        <v>#N/A</v>
      </c>
      <c r="K207" s="29" t="e">
        <f>IF(AND((A207&lt;'PSP Data'!$C$11),(A207&lt;&gt;0)),Analysis!C207,#N/A)</f>
        <v>#N/A</v>
      </c>
      <c r="L207" t="e">
        <f>IF(VLOOKUP(B207,Table1[],4)=0,"unknown", VLOOKUP(B207,Table1[],4))</f>
        <v>#N/A</v>
      </c>
      <c r="M207">
        <v>1</v>
      </c>
      <c r="N207" t="e">
        <f t="shared" si="11"/>
        <v>#N/A</v>
      </c>
      <c r="O207" t="str">
        <f t="shared" si="12"/>
        <v/>
      </c>
      <c r="P207" t="str">
        <f t="shared" si="13"/>
        <v/>
      </c>
      <c r="Q207" t="str">
        <f t="shared" si="14"/>
        <v/>
      </c>
      <c r="R207">
        <v>1</v>
      </c>
    </row>
    <row r="208" spans="1:18">
      <c r="A208">
        <f>'PSP Data'!A211</f>
        <v>0</v>
      </c>
      <c r="B208" t="str">
        <f>IF('PSP Data'!B211=0,"",'PSP Data'!B211)</f>
        <v/>
      </c>
      <c r="C208">
        <f>'PSP Data'!C211</f>
        <v>0</v>
      </c>
      <c r="D208">
        <f>'PSP Data'!D211</f>
        <v>0</v>
      </c>
      <c r="E208">
        <f>'PSP Data'!E211</f>
        <v>0</v>
      </c>
      <c r="F208">
        <f>'PSP Data'!F211</f>
        <v>0</v>
      </c>
      <c r="G208">
        <f>'PSP Data'!G211</f>
        <v>0</v>
      </c>
      <c r="H208">
        <f>'PSP Data'!H211</f>
        <v>0</v>
      </c>
      <c r="I208">
        <f>'PSP Data'!I211</f>
        <v>0</v>
      </c>
      <c r="J208" s="29" t="e">
        <f t="shared" si="10"/>
        <v>#N/A</v>
      </c>
      <c r="K208" s="29" t="e">
        <f>IF(AND((A208&lt;'PSP Data'!$C$11),(A208&lt;&gt;0)),Analysis!C208,#N/A)</f>
        <v>#N/A</v>
      </c>
      <c r="L208" t="e">
        <f>IF(VLOOKUP(B208,Table1[],4)=0,"unknown", VLOOKUP(B208,Table1[],4))</f>
        <v>#N/A</v>
      </c>
      <c r="M208">
        <v>1</v>
      </c>
      <c r="N208" t="e">
        <f t="shared" si="11"/>
        <v>#N/A</v>
      </c>
      <c r="O208" t="str">
        <f t="shared" si="12"/>
        <v/>
      </c>
      <c r="P208" t="str">
        <f t="shared" si="13"/>
        <v/>
      </c>
      <c r="Q208" t="str">
        <f t="shared" si="14"/>
        <v/>
      </c>
      <c r="R208">
        <v>1</v>
      </c>
    </row>
    <row r="209" spans="1:18">
      <c r="A209">
        <f>'PSP Data'!A212</f>
        <v>0</v>
      </c>
      <c r="B209" t="str">
        <f>IF('PSP Data'!B212=0,"",'PSP Data'!B212)</f>
        <v/>
      </c>
      <c r="C209">
        <f>'PSP Data'!C212</f>
        <v>0</v>
      </c>
      <c r="D209">
        <f>'PSP Data'!D212</f>
        <v>0</v>
      </c>
      <c r="E209">
        <f>'PSP Data'!E212</f>
        <v>0</v>
      </c>
      <c r="F209">
        <f>'PSP Data'!F212</f>
        <v>0</v>
      </c>
      <c r="G209">
        <f>'PSP Data'!G212</f>
        <v>0</v>
      </c>
      <c r="H209">
        <f>'PSP Data'!H212</f>
        <v>0</v>
      </c>
      <c r="I209">
        <f>'PSP Data'!I212</f>
        <v>0</v>
      </c>
      <c r="J209" s="29" t="e">
        <f t="shared" si="10"/>
        <v>#N/A</v>
      </c>
      <c r="K209" s="29" t="e">
        <f>IF(AND((A209&lt;'PSP Data'!$C$11),(A209&lt;&gt;0)),Analysis!C209,#N/A)</f>
        <v>#N/A</v>
      </c>
      <c r="L209" t="e">
        <f>IF(VLOOKUP(B209,Table1[],4)=0,"unknown", VLOOKUP(B209,Table1[],4))</f>
        <v>#N/A</v>
      </c>
      <c r="M209">
        <v>1</v>
      </c>
      <c r="N209" t="e">
        <f t="shared" si="11"/>
        <v>#N/A</v>
      </c>
      <c r="O209" t="str">
        <f t="shared" si="12"/>
        <v/>
      </c>
      <c r="P209" t="str">
        <f t="shared" si="13"/>
        <v/>
      </c>
      <c r="Q209" t="str">
        <f t="shared" si="14"/>
        <v/>
      </c>
      <c r="R209">
        <v>1</v>
      </c>
    </row>
    <row r="210" spans="1:18">
      <c r="A210">
        <f>'PSP Data'!A213</f>
        <v>0</v>
      </c>
      <c r="B210" t="str">
        <f>IF('PSP Data'!B213=0,"",'PSP Data'!B213)</f>
        <v/>
      </c>
      <c r="C210">
        <f>'PSP Data'!C213</f>
        <v>0</v>
      </c>
      <c r="D210">
        <f>'PSP Data'!D213</f>
        <v>0</v>
      </c>
      <c r="E210">
        <f>'PSP Data'!E213</f>
        <v>0</v>
      </c>
      <c r="F210">
        <f>'PSP Data'!F213</f>
        <v>0</v>
      </c>
      <c r="G210">
        <f>'PSP Data'!G213</f>
        <v>0</v>
      </c>
      <c r="H210">
        <f>'PSP Data'!H213</f>
        <v>0</v>
      </c>
      <c r="I210">
        <f>'PSP Data'!I213</f>
        <v>0</v>
      </c>
      <c r="J210" s="29" t="e">
        <f t="shared" si="10"/>
        <v>#N/A</v>
      </c>
      <c r="K210" s="29" t="e">
        <f>IF(AND((A210&lt;'PSP Data'!$C$11),(A210&lt;&gt;0)),Analysis!C210,#N/A)</f>
        <v>#N/A</v>
      </c>
      <c r="L210" t="e">
        <f>IF(VLOOKUP(B210,Table1[],4)=0,"unknown", VLOOKUP(B210,Table1[],4))</f>
        <v>#N/A</v>
      </c>
      <c r="M210">
        <v>1</v>
      </c>
      <c r="N210" t="e">
        <f t="shared" si="11"/>
        <v>#N/A</v>
      </c>
      <c r="O210" t="str">
        <f t="shared" si="12"/>
        <v/>
      </c>
      <c r="P210" t="str">
        <f t="shared" si="13"/>
        <v/>
      </c>
      <c r="Q210" t="str">
        <f t="shared" si="14"/>
        <v/>
      </c>
      <c r="R210">
        <v>1</v>
      </c>
    </row>
    <row r="211" spans="1:18">
      <c r="A211">
        <f>'PSP Data'!A214</f>
        <v>0</v>
      </c>
      <c r="B211" t="str">
        <f>IF('PSP Data'!B214=0,"",'PSP Data'!B214)</f>
        <v/>
      </c>
      <c r="C211">
        <f>'PSP Data'!C214</f>
        <v>0</v>
      </c>
      <c r="D211">
        <f>'PSP Data'!D214</f>
        <v>0</v>
      </c>
      <c r="E211">
        <f>'PSP Data'!E214</f>
        <v>0</v>
      </c>
      <c r="F211">
        <f>'PSP Data'!F214</f>
        <v>0</v>
      </c>
      <c r="G211">
        <f>'PSP Data'!G214</f>
        <v>0</v>
      </c>
      <c r="H211">
        <f>'PSP Data'!H214</f>
        <v>0</v>
      </c>
      <c r="I211">
        <f>'PSP Data'!I214</f>
        <v>0</v>
      </c>
      <c r="J211" s="29" t="e">
        <f t="shared" si="10"/>
        <v>#N/A</v>
      </c>
      <c r="K211" s="29" t="e">
        <f>IF(AND((A211&lt;'PSP Data'!$C$11),(A211&lt;&gt;0)),Analysis!C211,#N/A)</f>
        <v>#N/A</v>
      </c>
      <c r="L211" t="e">
        <f>IF(VLOOKUP(B211,Table1[],4)=0,"unknown", VLOOKUP(B211,Table1[],4))</f>
        <v>#N/A</v>
      </c>
      <c r="M211">
        <v>1</v>
      </c>
      <c r="N211" t="e">
        <f t="shared" si="11"/>
        <v>#N/A</v>
      </c>
      <c r="O211" t="str">
        <f t="shared" si="12"/>
        <v/>
      </c>
      <c r="P211" t="str">
        <f t="shared" si="13"/>
        <v/>
      </c>
      <c r="Q211" t="str">
        <f t="shared" si="14"/>
        <v/>
      </c>
      <c r="R211">
        <v>1</v>
      </c>
    </row>
    <row r="212" spans="1:18">
      <c r="A212">
        <f>'PSP Data'!A215</f>
        <v>0</v>
      </c>
      <c r="B212" t="str">
        <f>IF('PSP Data'!B215=0,"",'PSP Data'!B215)</f>
        <v/>
      </c>
      <c r="C212">
        <f>'PSP Data'!C215</f>
        <v>0</v>
      </c>
      <c r="D212">
        <f>'PSP Data'!D215</f>
        <v>0</v>
      </c>
      <c r="E212">
        <f>'PSP Data'!E215</f>
        <v>0</v>
      </c>
      <c r="F212">
        <f>'PSP Data'!F215</f>
        <v>0</v>
      </c>
      <c r="G212">
        <f>'PSP Data'!G215</f>
        <v>0</v>
      </c>
      <c r="H212">
        <f>'PSP Data'!H215</f>
        <v>0</v>
      </c>
      <c r="I212">
        <f>'PSP Data'!I215</f>
        <v>0</v>
      </c>
      <c r="J212" s="29" t="e">
        <f t="shared" si="10"/>
        <v>#N/A</v>
      </c>
      <c r="K212" s="29" t="e">
        <f>IF(AND((A212&lt;'PSP Data'!$C$11),(A212&lt;&gt;0)),Analysis!C212,#N/A)</f>
        <v>#N/A</v>
      </c>
      <c r="L212" t="e">
        <f>IF(VLOOKUP(B212,Table1[],4)=0,"unknown", VLOOKUP(B212,Table1[],4))</f>
        <v>#N/A</v>
      </c>
      <c r="M212">
        <v>1</v>
      </c>
      <c r="N212" t="e">
        <f t="shared" si="11"/>
        <v>#N/A</v>
      </c>
      <c r="O212" t="str">
        <f t="shared" si="12"/>
        <v/>
      </c>
      <c r="P212" t="str">
        <f t="shared" si="13"/>
        <v/>
      </c>
      <c r="Q212" t="str">
        <f t="shared" si="14"/>
        <v/>
      </c>
      <c r="R212">
        <v>1</v>
      </c>
    </row>
    <row r="213" spans="1:18">
      <c r="A213">
        <f>'PSP Data'!A216</f>
        <v>0</v>
      </c>
      <c r="B213" t="str">
        <f>IF('PSP Data'!B216=0,"",'PSP Data'!B216)</f>
        <v/>
      </c>
      <c r="C213">
        <f>'PSP Data'!C216</f>
        <v>0</v>
      </c>
      <c r="D213">
        <f>'PSP Data'!D216</f>
        <v>0</v>
      </c>
      <c r="E213">
        <f>'PSP Data'!E216</f>
        <v>0</v>
      </c>
      <c r="F213">
        <f>'PSP Data'!F216</f>
        <v>0</v>
      </c>
      <c r="G213">
        <f>'PSP Data'!G216</f>
        <v>0</v>
      </c>
      <c r="H213">
        <f>'PSP Data'!H216</f>
        <v>0</v>
      </c>
      <c r="I213">
        <f>'PSP Data'!I216</f>
        <v>0</v>
      </c>
      <c r="J213" s="29" t="e">
        <f t="shared" si="10"/>
        <v>#N/A</v>
      </c>
      <c r="K213" s="29" t="e">
        <f>IF(AND((A213&lt;'PSP Data'!$C$11),(A213&lt;&gt;0)),Analysis!C213,#N/A)</f>
        <v>#N/A</v>
      </c>
      <c r="L213" t="e">
        <f>IF(VLOOKUP(B213,Table1[],4)=0,"unknown", VLOOKUP(B213,Table1[],4))</f>
        <v>#N/A</v>
      </c>
      <c r="M213">
        <v>1</v>
      </c>
      <c r="N213" t="e">
        <f t="shared" si="11"/>
        <v>#N/A</v>
      </c>
      <c r="O213" t="str">
        <f t="shared" si="12"/>
        <v/>
      </c>
      <c r="P213" t="str">
        <f t="shared" si="13"/>
        <v/>
      </c>
      <c r="Q213" t="str">
        <f t="shared" si="14"/>
        <v/>
      </c>
      <c r="R213">
        <v>1</v>
      </c>
    </row>
    <row r="214" spans="1:18">
      <c r="A214">
        <f>'PSP Data'!A217</f>
        <v>0</v>
      </c>
      <c r="B214" t="str">
        <f>IF('PSP Data'!B217=0,"",'PSP Data'!B217)</f>
        <v/>
      </c>
      <c r="C214">
        <f>'PSP Data'!C217</f>
        <v>0</v>
      </c>
      <c r="D214">
        <f>'PSP Data'!D217</f>
        <v>0</v>
      </c>
      <c r="E214">
        <f>'PSP Data'!E217</f>
        <v>0</v>
      </c>
      <c r="F214">
        <f>'PSP Data'!F217</f>
        <v>0</v>
      </c>
      <c r="G214">
        <f>'PSP Data'!G217</f>
        <v>0</v>
      </c>
      <c r="H214">
        <f>'PSP Data'!H217</f>
        <v>0</v>
      </c>
      <c r="I214">
        <f>'PSP Data'!I217</f>
        <v>0</v>
      </c>
      <c r="J214" s="29" t="e">
        <f t="shared" ref="J214:J277" si="15">IF(C214&gt;=25,C214,#N/A)</f>
        <v>#N/A</v>
      </c>
      <c r="K214" s="29" t="e">
        <f>IF(AND((A214&lt;'PSP Data'!$C$11),(A214&lt;&gt;0)),Analysis!C214,#N/A)</f>
        <v>#N/A</v>
      </c>
      <c r="L214" t="e">
        <f>IF(VLOOKUP(B214,Table1[],4)=0,"unknown", VLOOKUP(B214,Table1[],4))</f>
        <v>#N/A</v>
      </c>
      <c r="M214">
        <v>1</v>
      </c>
      <c r="N214" t="e">
        <f t="shared" ref="N214:N277" si="16">IF(L214="timber",B214,"")</f>
        <v>#N/A</v>
      </c>
      <c r="O214" t="str">
        <f t="shared" ref="O214:O277" si="17">IF(D214="y",B214,"")</f>
        <v/>
      </c>
      <c r="P214" t="str">
        <f t="shared" ref="P214:P277" si="18">IF(F214="y",B214,"")</f>
        <v/>
      </c>
      <c r="Q214" t="str">
        <f t="shared" ref="Q214:Q277" si="19">IF(B214="","",ISNUMBER(FIND("Dead wood",B214:B1093)))</f>
        <v/>
      </c>
      <c r="R214">
        <v>1</v>
      </c>
    </row>
    <row r="215" spans="1:18">
      <c r="A215">
        <f>'PSP Data'!A218</f>
        <v>0</v>
      </c>
      <c r="B215" t="str">
        <f>IF('PSP Data'!B218=0,"",'PSP Data'!B218)</f>
        <v/>
      </c>
      <c r="C215">
        <f>'PSP Data'!C218</f>
        <v>0</v>
      </c>
      <c r="D215">
        <f>'PSP Data'!D218</f>
        <v>0</v>
      </c>
      <c r="E215">
        <f>'PSP Data'!E218</f>
        <v>0</v>
      </c>
      <c r="F215">
        <f>'PSP Data'!F218</f>
        <v>0</v>
      </c>
      <c r="G215">
        <f>'PSP Data'!G218</f>
        <v>0</v>
      </c>
      <c r="H215">
        <f>'PSP Data'!H218</f>
        <v>0</v>
      </c>
      <c r="I215">
        <f>'PSP Data'!I218</f>
        <v>0</v>
      </c>
      <c r="J215" s="29" t="e">
        <f t="shared" si="15"/>
        <v>#N/A</v>
      </c>
      <c r="K215" s="29" t="e">
        <f>IF(AND((A215&lt;'PSP Data'!$C$11),(A215&lt;&gt;0)),Analysis!C215,#N/A)</f>
        <v>#N/A</v>
      </c>
      <c r="L215" t="e">
        <f>IF(VLOOKUP(B215,Table1[],4)=0,"unknown", VLOOKUP(B215,Table1[],4))</f>
        <v>#N/A</v>
      </c>
      <c r="M215">
        <v>1</v>
      </c>
      <c r="N215" t="e">
        <f t="shared" si="16"/>
        <v>#N/A</v>
      </c>
      <c r="O215" t="str">
        <f t="shared" si="17"/>
        <v/>
      </c>
      <c r="P215" t="str">
        <f t="shared" si="18"/>
        <v/>
      </c>
      <c r="Q215" t="str">
        <f t="shared" si="19"/>
        <v/>
      </c>
      <c r="R215">
        <v>1</v>
      </c>
    </row>
    <row r="216" spans="1:18">
      <c r="A216">
        <f>'PSP Data'!A219</f>
        <v>0</v>
      </c>
      <c r="B216" t="str">
        <f>IF('PSP Data'!B219=0,"",'PSP Data'!B219)</f>
        <v/>
      </c>
      <c r="C216">
        <f>'PSP Data'!C219</f>
        <v>0</v>
      </c>
      <c r="D216">
        <f>'PSP Data'!D219</f>
        <v>0</v>
      </c>
      <c r="E216">
        <f>'PSP Data'!E219</f>
        <v>0</v>
      </c>
      <c r="F216">
        <f>'PSP Data'!F219</f>
        <v>0</v>
      </c>
      <c r="G216">
        <f>'PSP Data'!G219</f>
        <v>0</v>
      </c>
      <c r="H216">
        <f>'PSP Data'!H219</f>
        <v>0</v>
      </c>
      <c r="I216">
        <f>'PSP Data'!I219</f>
        <v>0</v>
      </c>
      <c r="J216" s="29" t="e">
        <f t="shared" si="15"/>
        <v>#N/A</v>
      </c>
      <c r="K216" s="29" t="e">
        <f>IF(AND((A216&lt;'PSP Data'!$C$11),(A216&lt;&gt;0)),Analysis!C216,#N/A)</f>
        <v>#N/A</v>
      </c>
      <c r="L216" t="e">
        <f>IF(VLOOKUP(B216,Table1[],4)=0,"unknown", VLOOKUP(B216,Table1[],4))</f>
        <v>#N/A</v>
      </c>
      <c r="M216">
        <v>1</v>
      </c>
      <c r="N216" t="e">
        <f t="shared" si="16"/>
        <v>#N/A</v>
      </c>
      <c r="O216" t="str">
        <f t="shared" si="17"/>
        <v/>
      </c>
      <c r="P216" t="str">
        <f t="shared" si="18"/>
        <v/>
      </c>
      <c r="Q216" t="str">
        <f t="shared" si="19"/>
        <v/>
      </c>
      <c r="R216">
        <v>1</v>
      </c>
    </row>
    <row r="217" spans="1:18">
      <c r="A217">
        <f>'PSP Data'!A220</f>
        <v>0</v>
      </c>
      <c r="B217" t="str">
        <f>IF('PSP Data'!B220=0,"",'PSP Data'!B220)</f>
        <v/>
      </c>
      <c r="C217">
        <f>'PSP Data'!C220</f>
        <v>0</v>
      </c>
      <c r="D217">
        <f>'PSP Data'!D220</f>
        <v>0</v>
      </c>
      <c r="E217">
        <f>'PSP Data'!E220</f>
        <v>0</v>
      </c>
      <c r="F217">
        <f>'PSP Data'!F220</f>
        <v>0</v>
      </c>
      <c r="G217">
        <f>'PSP Data'!G220</f>
        <v>0</v>
      </c>
      <c r="H217">
        <f>'PSP Data'!H220</f>
        <v>0</v>
      </c>
      <c r="I217">
        <f>'PSP Data'!I220</f>
        <v>0</v>
      </c>
      <c r="J217" s="29" t="e">
        <f t="shared" si="15"/>
        <v>#N/A</v>
      </c>
      <c r="K217" s="29" t="e">
        <f>IF(AND((A217&lt;'PSP Data'!$C$11),(A217&lt;&gt;0)),Analysis!C217,#N/A)</f>
        <v>#N/A</v>
      </c>
      <c r="L217" t="e">
        <f>IF(VLOOKUP(B217,Table1[],4)=0,"unknown", VLOOKUP(B217,Table1[],4))</f>
        <v>#N/A</v>
      </c>
      <c r="M217">
        <v>1</v>
      </c>
      <c r="N217" t="e">
        <f t="shared" si="16"/>
        <v>#N/A</v>
      </c>
      <c r="O217" t="str">
        <f t="shared" si="17"/>
        <v/>
      </c>
      <c r="P217" t="str">
        <f t="shared" si="18"/>
        <v/>
      </c>
      <c r="Q217" t="str">
        <f t="shared" si="19"/>
        <v/>
      </c>
      <c r="R217">
        <v>1</v>
      </c>
    </row>
    <row r="218" spans="1:18">
      <c r="A218">
        <f>'PSP Data'!A221</f>
        <v>0</v>
      </c>
      <c r="B218" t="str">
        <f>IF('PSP Data'!B221=0,"",'PSP Data'!B221)</f>
        <v/>
      </c>
      <c r="C218">
        <f>'PSP Data'!C221</f>
        <v>0</v>
      </c>
      <c r="D218">
        <f>'PSP Data'!D221</f>
        <v>0</v>
      </c>
      <c r="E218">
        <f>'PSP Data'!E221</f>
        <v>0</v>
      </c>
      <c r="F218">
        <f>'PSP Data'!F221</f>
        <v>0</v>
      </c>
      <c r="G218">
        <f>'PSP Data'!G221</f>
        <v>0</v>
      </c>
      <c r="H218">
        <f>'PSP Data'!H221</f>
        <v>0</v>
      </c>
      <c r="I218">
        <f>'PSP Data'!I221</f>
        <v>0</v>
      </c>
      <c r="J218" s="29" t="e">
        <f t="shared" si="15"/>
        <v>#N/A</v>
      </c>
      <c r="K218" s="29" t="e">
        <f>IF(AND((A218&lt;'PSP Data'!$C$11),(A218&lt;&gt;0)),Analysis!C218,#N/A)</f>
        <v>#N/A</v>
      </c>
      <c r="L218" t="e">
        <f>IF(VLOOKUP(B218,Table1[],4)=0,"unknown", VLOOKUP(B218,Table1[],4))</f>
        <v>#N/A</v>
      </c>
      <c r="M218">
        <v>1</v>
      </c>
      <c r="N218" t="e">
        <f t="shared" si="16"/>
        <v>#N/A</v>
      </c>
      <c r="O218" t="str">
        <f t="shared" si="17"/>
        <v/>
      </c>
      <c r="P218" t="str">
        <f t="shared" si="18"/>
        <v/>
      </c>
      <c r="Q218" t="str">
        <f t="shared" si="19"/>
        <v/>
      </c>
      <c r="R218">
        <v>1</v>
      </c>
    </row>
    <row r="219" spans="1:18">
      <c r="A219">
        <f>'PSP Data'!A222</f>
        <v>0</v>
      </c>
      <c r="B219" t="str">
        <f>IF('PSP Data'!B222=0,"",'PSP Data'!B222)</f>
        <v/>
      </c>
      <c r="C219">
        <f>'PSP Data'!C222</f>
        <v>0</v>
      </c>
      <c r="D219">
        <f>'PSP Data'!D222</f>
        <v>0</v>
      </c>
      <c r="E219">
        <f>'PSP Data'!E222</f>
        <v>0</v>
      </c>
      <c r="F219">
        <f>'PSP Data'!F222</f>
        <v>0</v>
      </c>
      <c r="G219">
        <f>'PSP Data'!G222</f>
        <v>0</v>
      </c>
      <c r="H219">
        <f>'PSP Data'!H222</f>
        <v>0</v>
      </c>
      <c r="I219">
        <f>'PSP Data'!I222</f>
        <v>0</v>
      </c>
      <c r="J219" s="29" t="e">
        <f t="shared" si="15"/>
        <v>#N/A</v>
      </c>
      <c r="K219" s="29" t="e">
        <f>IF(AND((A219&lt;'PSP Data'!$C$11),(A219&lt;&gt;0)),Analysis!C219,#N/A)</f>
        <v>#N/A</v>
      </c>
      <c r="L219" t="e">
        <f>IF(VLOOKUP(B219,Table1[],4)=0,"unknown", VLOOKUP(B219,Table1[],4))</f>
        <v>#N/A</v>
      </c>
      <c r="M219">
        <v>1</v>
      </c>
      <c r="N219" t="e">
        <f t="shared" si="16"/>
        <v>#N/A</v>
      </c>
      <c r="O219" t="str">
        <f t="shared" si="17"/>
        <v/>
      </c>
      <c r="P219" t="str">
        <f t="shared" si="18"/>
        <v/>
      </c>
      <c r="Q219" t="str">
        <f t="shared" si="19"/>
        <v/>
      </c>
      <c r="R219">
        <v>1</v>
      </c>
    </row>
    <row r="220" spans="1:18">
      <c r="A220">
        <f>'PSP Data'!A223</f>
        <v>0</v>
      </c>
      <c r="B220" t="str">
        <f>IF('PSP Data'!B223=0,"",'PSP Data'!B223)</f>
        <v/>
      </c>
      <c r="C220">
        <f>'PSP Data'!C223</f>
        <v>0</v>
      </c>
      <c r="D220">
        <f>'PSP Data'!D223</f>
        <v>0</v>
      </c>
      <c r="E220">
        <f>'PSP Data'!E223</f>
        <v>0</v>
      </c>
      <c r="F220">
        <f>'PSP Data'!F223</f>
        <v>0</v>
      </c>
      <c r="G220">
        <f>'PSP Data'!G223</f>
        <v>0</v>
      </c>
      <c r="H220">
        <f>'PSP Data'!H223</f>
        <v>0</v>
      </c>
      <c r="I220">
        <f>'PSP Data'!I223</f>
        <v>0</v>
      </c>
      <c r="J220" s="29" t="e">
        <f t="shared" si="15"/>
        <v>#N/A</v>
      </c>
      <c r="K220" s="29" t="e">
        <f>IF(AND((A220&lt;'PSP Data'!$C$11),(A220&lt;&gt;0)),Analysis!C220,#N/A)</f>
        <v>#N/A</v>
      </c>
      <c r="L220" t="e">
        <f>IF(VLOOKUP(B220,Table1[],4)=0,"unknown", VLOOKUP(B220,Table1[],4))</f>
        <v>#N/A</v>
      </c>
      <c r="M220">
        <v>1</v>
      </c>
      <c r="N220" t="e">
        <f t="shared" si="16"/>
        <v>#N/A</v>
      </c>
      <c r="O220" t="str">
        <f t="shared" si="17"/>
        <v/>
      </c>
      <c r="P220" t="str">
        <f t="shared" si="18"/>
        <v/>
      </c>
      <c r="Q220" t="str">
        <f t="shared" si="19"/>
        <v/>
      </c>
      <c r="R220">
        <v>1</v>
      </c>
    </row>
    <row r="221" spans="1:18">
      <c r="A221">
        <f>'PSP Data'!A224</f>
        <v>0</v>
      </c>
      <c r="B221" t="str">
        <f>IF('PSP Data'!B224=0,"",'PSP Data'!B224)</f>
        <v/>
      </c>
      <c r="C221">
        <f>'PSP Data'!C224</f>
        <v>0</v>
      </c>
      <c r="D221">
        <f>'PSP Data'!D224</f>
        <v>0</v>
      </c>
      <c r="E221">
        <f>'PSP Data'!E224</f>
        <v>0</v>
      </c>
      <c r="F221">
        <f>'PSP Data'!F224</f>
        <v>0</v>
      </c>
      <c r="G221">
        <f>'PSP Data'!G224</f>
        <v>0</v>
      </c>
      <c r="H221">
        <f>'PSP Data'!H224</f>
        <v>0</v>
      </c>
      <c r="I221">
        <f>'PSP Data'!I224</f>
        <v>0</v>
      </c>
      <c r="J221" s="29" t="e">
        <f t="shared" si="15"/>
        <v>#N/A</v>
      </c>
      <c r="K221" s="29" t="e">
        <f>IF(AND((A221&lt;'PSP Data'!$C$11),(A221&lt;&gt;0)),Analysis!C221,#N/A)</f>
        <v>#N/A</v>
      </c>
      <c r="L221" t="e">
        <f>IF(VLOOKUP(B221,Table1[],4)=0,"unknown", VLOOKUP(B221,Table1[],4))</f>
        <v>#N/A</v>
      </c>
      <c r="M221">
        <v>1</v>
      </c>
      <c r="N221" t="e">
        <f t="shared" si="16"/>
        <v>#N/A</v>
      </c>
      <c r="O221" t="str">
        <f t="shared" si="17"/>
        <v/>
      </c>
      <c r="P221" t="str">
        <f t="shared" si="18"/>
        <v/>
      </c>
      <c r="Q221" t="str">
        <f t="shared" si="19"/>
        <v/>
      </c>
      <c r="R221">
        <v>1</v>
      </c>
    </row>
    <row r="222" spans="1:18">
      <c r="A222">
        <f>'PSP Data'!A225</f>
        <v>0</v>
      </c>
      <c r="B222" t="str">
        <f>IF('PSP Data'!B225=0,"",'PSP Data'!B225)</f>
        <v/>
      </c>
      <c r="C222">
        <f>'PSP Data'!C225</f>
        <v>0</v>
      </c>
      <c r="D222">
        <f>'PSP Data'!D225</f>
        <v>0</v>
      </c>
      <c r="E222">
        <f>'PSP Data'!E225</f>
        <v>0</v>
      </c>
      <c r="F222">
        <f>'PSP Data'!F225</f>
        <v>0</v>
      </c>
      <c r="G222">
        <f>'PSP Data'!G225</f>
        <v>0</v>
      </c>
      <c r="H222">
        <f>'PSP Data'!H225</f>
        <v>0</v>
      </c>
      <c r="I222">
        <f>'PSP Data'!I225</f>
        <v>0</v>
      </c>
      <c r="J222" s="29" t="e">
        <f t="shared" si="15"/>
        <v>#N/A</v>
      </c>
      <c r="K222" s="29" t="e">
        <f>IF(AND((A222&lt;'PSP Data'!$C$11),(A222&lt;&gt;0)),Analysis!C222,#N/A)</f>
        <v>#N/A</v>
      </c>
      <c r="L222" t="e">
        <f>IF(VLOOKUP(B222,Table1[],4)=0,"unknown", VLOOKUP(B222,Table1[],4))</f>
        <v>#N/A</v>
      </c>
      <c r="M222">
        <v>1</v>
      </c>
      <c r="N222" t="e">
        <f t="shared" si="16"/>
        <v>#N/A</v>
      </c>
      <c r="O222" t="str">
        <f t="shared" si="17"/>
        <v/>
      </c>
      <c r="P222" t="str">
        <f t="shared" si="18"/>
        <v/>
      </c>
      <c r="Q222" t="str">
        <f t="shared" si="19"/>
        <v/>
      </c>
      <c r="R222">
        <v>1</v>
      </c>
    </row>
    <row r="223" spans="1:18">
      <c r="A223">
        <f>'PSP Data'!A226</f>
        <v>0</v>
      </c>
      <c r="B223" t="str">
        <f>IF('PSP Data'!B226=0,"",'PSP Data'!B226)</f>
        <v/>
      </c>
      <c r="C223">
        <f>'PSP Data'!C226</f>
        <v>0</v>
      </c>
      <c r="D223">
        <f>'PSP Data'!D226</f>
        <v>0</v>
      </c>
      <c r="E223">
        <f>'PSP Data'!E226</f>
        <v>0</v>
      </c>
      <c r="F223">
        <f>'PSP Data'!F226</f>
        <v>0</v>
      </c>
      <c r="G223">
        <f>'PSP Data'!G226</f>
        <v>0</v>
      </c>
      <c r="H223">
        <f>'PSP Data'!H226</f>
        <v>0</v>
      </c>
      <c r="I223">
        <f>'PSP Data'!I226</f>
        <v>0</v>
      </c>
      <c r="J223" s="29" t="e">
        <f t="shared" si="15"/>
        <v>#N/A</v>
      </c>
      <c r="K223" s="29" t="e">
        <f>IF(AND((A223&lt;'PSP Data'!$C$11),(A223&lt;&gt;0)),Analysis!C223,#N/A)</f>
        <v>#N/A</v>
      </c>
      <c r="L223" t="e">
        <f>IF(VLOOKUP(B223,Table1[],4)=0,"unknown", VLOOKUP(B223,Table1[],4))</f>
        <v>#N/A</v>
      </c>
      <c r="M223">
        <v>1</v>
      </c>
      <c r="N223" t="e">
        <f t="shared" si="16"/>
        <v>#N/A</v>
      </c>
      <c r="O223" t="str">
        <f t="shared" si="17"/>
        <v/>
      </c>
      <c r="P223" t="str">
        <f t="shared" si="18"/>
        <v/>
      </c>
      <c r="Q223" t="str">
        <f t="shared" si="19"/>
        <v/>
      </c>
      <c r="R223">
        <v>1</v>
      </c>
    </row>
    <row r="224" spans="1:18">
      <c r="A224">
        <f>'PSP Data'!A227</f>
        <v>0</v>
      </c>
      <c r="B224" t="str">
        <f>IF('PSP Data'!B227=0,"",'PSP Data'!B227)</f>
        <v/>
      </c>
      <c r="C224">
        <f>'PSP Data'!C227</f>
        <v>0</v>
      </c>
      <c r="D224">
        <f>'PSP Data'!D227</f>
        <v>0</v>
      </c>
      <c r="E224">
        <f>'PSP Data'!E227</f>
        <v>0</v>
      </c>
      <c r="F224">
        <f>'PSP Data'!F227</f>
        <v>0</v>
      </c>
      <c r="G224">
        <f>'PSP Data'!G227</f>
        <v>0</v>
      </c>
      <c r="H224">
        <f>'PSP Data'!H227</f>
        <v>0</v>
      </c>
      <c r="I224">
        <f>'PSP Data'!I227</f>
        <v>0</v>
      </c>
      <c r="J224" s="29" t="e">
        <f t="shared" si="15"/>
        <v>#N/A</v>
      </c>
      <c r="K224" s="29" t="e">
        <f>IF(AND((A224&lt;'PSP Data'!$C$11),(A224&lt;&gt;0)),Analysis!C224,#N/A)</f>
        <v>#N/A</v>
      </c>
      <c r="L224" t="e">
        <f>IF(VLOOKUP(B224,Table1[],4)=0,"unknown", VLOOKUP(B224,Table1[],4))</f>
        <v>#N/A</v>
      </c>
      <c r="M224">
        <v>1</v>
      </c>
      <c r="N224" t="e">
        <f t="shared" si="16"/>
        <v>#N/A</v>
      </c>
      <c r="O224" t="str">
        <f t="shared" si="17"/>
        <v/>
      </c>
      <c r="P224" t="str">
        <f t="shared" si="18"/>
        <v/>
      </c>
      <c r="Q224" t="str">
        <f t="shared" si="19"/>
        <v/>
      </c>
      <c r="R224">
        <v>1</v>
      </c>
    </row>
    <row r="225" spans="1:18">
      <c r="A225">
        <f>'PSP Data'!A228</f>
        <v>0</v>
      </c>
      <c r="B225" t="str">
        <f>IF('PSP Data'!B228=0,"",'PSP Data'!B228)</f>
        <v/>
      </c>
      <c r="C225">
        <f>'PSP Data'!C228</f>
        <v>0</v>
      </c>
      <c r="D225">
        <f>'PSP Data'!D228</f>
        <v>0</v>
      </c>
      <c r="E225">
        <f>'PSP Data'!E228</f>
        <v>0</v>
      </c>
      <c r="F225">
        <f>'PSP Data'!F228</f>
        <v>0</v>
      </c>
      <c r="G225">
        <f>'PSP Data'!G228</f>
        <v>0</v>
      </c>
      <c r="H225">
        <f>'PSP Data'!H228</f>
        <v>0</v>
      </c>
      <c r="I225">
        <f>'PSP Data'!I228</f>
        <v>0</v>
      </c>
      <c r="J225" s="29" t="e">
        <f t="shared" si="15"/>
        <v>#N/A</v>
      </c>
      <c r="K225" s="29" t="e">
        <f>IF(AND((A225&lt;'PSP Data'!$C$11),(A225&lt;&gt;0)),Analysis!C225,#N/A)</f>
        <v>#N/A</v>
      </c>
      <c r="L225" t="e">
        <f>IF(VLOOKUP(B225,Table1[],4)=0,"unknown", VLOOKUP(B225,Table1[],4))</f>
        <v>#N/A</v>
      </c>
      <c r="M225">
        <v>1</v>
      </c>
      <c r="N225" t="e">
        <f t="shared" si="16"/>
        <v>#N/A</v>
      </c>
      <c r="O225" t="str">
        <f t="shared" si="17"/>
        <v/>
      </c>
      <c r="P225" t="str">
        <f t="shared" si="18"/>
        <v/>
      </c>
      <c r="Q225" t="str">
        <f t="shared" si="19"/>
        <v/>
      </c>
      <c r="R225">
        <v>1</v>
      </c>
    </row>
    <row r="226" spans="1:18">
      <c r="A226">
        <f>'PSP Data'!A229</f>
        <v>0</v>
      </c>
      <c r="B226" t="str">
        <f>IF('PSP Data'!B229=0,"",'PSP Data'!B229)</f>
        <v/>
      </c>
      <c r="C226">
        <f>'PSP Data'!C229</f>
        <v>0</v>
      </c>
      <c r="D226">
        <f>'PSP Data'!D229</f>
        <v>0</v>
      </c>
      <c r="E226">
        <f>'PSP Data'!E229</f>
        <v>0</v>
      </c>
      <c r="F226">
        <f>'PSP Data'!F229</f>
        <v>0</v>
      </c>
      <c r="G226">
        <f>'PSP Data'!G229</f>
        <v>0</v>
      </c>
      <c r="H226">
        <f>'PSP Data'!H229</f>
        <v>0</v>
      </c>
      <c r="I226">
        <f>'PSP Data'!I229</f>
        <v>0</v>
      </c>
      <c r="J226" s="29" t="e">
        <f t="shared" si="15"/>
        <v>#N/A</v>
      </c>
      <c r="K226" s="29" t="e">
        <f>IF(AND((A226&lt;'PSP Data'!$C$11),(A226&lt;&gt;0)),Analysis!C226,#N/A)</f>
        <v>#N/A</v>
      </c>
      <c r="L226" t="e">
        <f>IF(VLOOKUP(B226,Table1[],4)=0,"unknown", VLOOKUP(B226,Table1[],4))</f>
        <v>#N/A</v>
      </c>
      <c r="M226">
        <v>1</v>
      </c>
      <c r="N226" t="e">
        <f t="shared" si="16"/>
        <v>#N/A</v>
      </c>
      <c r="O226" t="str">
        <f t="shared" si="17"/>
        <v/>
      </c>
      <c r="P226" t="str">
        <f t="shared" si="18"/>
        <v/>
      </c>
      <c r="Q226" t="str">
        <f t="shared" si="19"/>
        <v/>
      </c>
      <c r="R226">
        <v>1</v>
      </c>
    </row>
    <row r="227" spans="1:18">
      <c r="A227">
        <f>'PSP Data'!A230</f>
        <v>0</v>
      </c>
      <c r="B227" t="str">
        <f>IF('PSP Data'!B230=0,"",'PSP Data'!B230)</f>
        <v/>
      </c>
      <c r="C227">
        <f>'PSP Data'!C230</f>
        <v>0</v>
      </c>
      <c r="D227">
        <f>'PSP Data'!D230</f>
        <v>0</v>
      </c>
      <c r="E227">
        <f>'PSP Data'!E230</f>
        <v>0</v>
      </c>
      <c r="F227">
        <f>'PSP Data'!F230</f>
        <v>0</v>
      </c>
      <c r="G227">
        <f>'PSP Data'!G230</f>
        <v>0</v>
      </c>
      <c r="H227">
        <f>'PSP Data'!H230</f>
        <v>0</v>
      </c>
      <c r="I227">
        <f>'PSP Data'!I230</f>
        <v>0</v>
      </c>
      <c r="J227" s="29" t="e">
        <f t="shared" si="15"/>
        <v>#N/A</v>
      </c>
      <c r="K227" s="29" t="e">
        <f>IF(AND((A227&lt;'PSP Data'!$C$11),(A227&lt;&gt;0)),Analysis!C227,#N/A)</f>
        <v>#N/A</v>
      </c>
      <c r="L227" t="e">
        <f>IF(VLOOKUP(B227,Table1[],4)=0,"unknown", VLOOKUP(B227,Table1[],4))</f>
        <v>#N/A</v>
      </c>
      <c r="M227">
        <v>1</v>
      </c>
      <c r="N227" t="e">
        <f t="shared" si="16"/>
        <v>#N/A</v>
      </c>
      <c r="O227" t="str">
        <f t="shared" si="17"/>
        <v/>
      </c>
      <c r="P227" t="str">
        <f t="shared" si="18"/>
        <v/>
      </c>
      <c r="Q227" t="str">
        <f t="shared" si="19"/>
        <v/>
      </c>
      <c r="R227">
        <v>1</v>
      </c>
    </row>
    <row r="228" spans="1:18">
      <c r="A228">
        <f>'PSP Data'!A231</f>
        <v>0</v>
      </c>
      <c r="B228" t="str">
        <f>IF('PSP Data'!B231=0,"",'PSP Data'!B231)</f>
        <v/>
      </c>
      <c r="C228">
        <f>'PSP Data'!C231</f>
        <v>0</v>
      </c>
      <c r="D228">
        <f>'PSP Data'!D231</f>
        <v>0</v>
      </c>
      <c r="E228">
        <f>'PSP Data'!E231</f>
        <v>0</v>
      </c>
      <c r="F228">
        <f>'PSP Data'!F231</f>
        <v>0</v>
      </c>
      <c r="G228">
        <f>'PSP Data'!G231</f>
        <v>0</v>
      </c>
      <c r="H228">
        <f>'PSP Data'!H231</f>
        <v>0</v>
      </c>
      <c r="I228">
        <f>'PSP Data'!I231</f>
        <v>0</v>
      </c>
      <c r="J228" s="29" t="e">
        <f t="shared" si="15"/>
        <v>#N/A</v>
      </c>
      <c r="K228" s="29" t="e">
        <f>IF(AND((A228&lt;'PSP Data'!$C$11),(A228&lt;&gt;0)),Analysis!C228,#N/A)</f>
        <v>#N/A</v>
      </c>
      <c r="L228" t="e">
        <f>IF(VLOOKUP(B228,Table1[],4)=0,"unknown", VLOOKUP(B228,Table1[],4))</f>
        <v>#N/A</v>
      </c>
      <c r="M228">
        <v>1</v>
      </c>
      <c r="N228" t="e">
        <f t="shared" si="16"/>
        <v>#N/A</v>
      </c>
      <c r="O228" t="str">
        <f t="shared" si="17"/>
        <v/>
      </c>
      <c r="P228" t="str">
        <f t="shared" si="18"/>
        <v/>
      </c>
      <c r="Q228" t="str">
        <f t="shared" si="19"/>
        <v/>
      </c>
      <c r="R228">
        <v>1</v>
      </c>
    </row>
    <row r="229" spans="1:18">
      <c r="A229">
        <f>'PSP Data'!A232</f>
        <v>0</v>
      </c>
      <c r="B229" t="str">
        <f>IF('PSP Data'!B232=0,"",'PSP Data'!B232)</f>
        <v/>
      </c>
      <c r="C229">
        <f>'PSP Data'!C232</f>
        <v>0</v>
      </c>
      <c r="D229">
        <f>'PSP Data'!D232</f>
        <v>0</v>
      </c>
      <c r="E229">
        <f>'PSP Data'!E232</f>
        <v>0</v>
      </c>
      <c r="F229">
        <f>'PSP Data'!F232</f>
        <v>0</v>
      </c>
      <c r="G229">
        <f>'PSP Data'!G232</f>
        <v>0</v>
      </c>
      <c r="H229">
        <f>'PSP Data'!H232</f>
        <v>0</v>
      </c>
      <c r="I229">
        <f>'PSP Data'!I232</f>
        <v>0</v>
      </c>
      <c r="J229" s="29" t="e">
        <f t="shared" si="15"/>
        <v>#N/A</v>
      </c>
      <c r="K229" s="29" t="e">
        <f>IF(AND((A229&lt;'PSP Data'!$C$11),(A229&lt;&gt;0)),Analysis!C229,#N/A)</f>
        <v>#N/A</v>
      </c>
      <c r="L229" t="e">
        <f>IF(VLOOKUP(B229,Table1[],4)=0,"unknown", VLOOKUP(B229,Table1[],4))</f>
        <v>#N/A</v>
      </c>
      <c r="M229">
        <v>1</v>
      </c>
      <c r="N229" t="e">
        <f t="shared" si="16"/>
        <v>#N/A</v>
      </c>
      <c r="O229" t="str">
        <f t="shared" si="17"/>
        <v/>
      </c>
      <c r="P229" t="str">
        <f t="shared" si="18"/>
        <v/>
      </c>
      <c r="Q229" t="str">
        <f t="shared" si="19"/>
        <v/>
      </c>
      <c r="R229">
        <v>1</v>
      </c>
    </row>
    <row r="230" spans="1:18">
      <c r="A230">
        <f>'PSP Data'!A233</f>
        <v>0</v>
      </c>
      <c r="B230" t="str">
        <f>IF('PSP Data'!B233=0,"",'PSP Data'!B233)</f>
        <v/>
      </c>
      <c r="C230">
        <f>'PSP Data'!C233</f>
        <v>0</v>
      </c>
      <c r="D230">
        <f>'PSP Data'!D233</f>
        <v>0</v>
      </c>
      <c r="E230">
        <f>'PSP Data'!E233</f>
        <v>0</v>
      </c>
      <c r="F230">
        <f>'PSP Data'!F233</f>
        <v>0</v>
      </c>
      <c r="G230">
        <f>'PSP Data'!G233</f>
        <v>0</v>
      </c>
      <c r="H230">
        <f>'PSP Data'!H233</f>
        <v>0</v>
      </c>
      <c r="I230">
        <f>'PSP Data'!I233</f>
        <v>0</v>
      </c>
      <c r="J230" s="29" t="e">
        <f t="shared" si="15"/>
        <v>#N/A</v>
      </c>
      <c r="K230" s="29" t="e">
        <f>IF(AND((A230&lt;'PSP Data'!$C$11),(A230&lt;&gt;0)),Analysis!C230,#N/A)</f>
        <v>#N/A</v>
      </c>
      <c r="L230" t="e">
        <f>IF(VLOOKUP(B230,Table1[],4)=0,"unknown", VLOOKUP(B230,Table1[],4))</f>
        <v>#N/A</v>
      </c>
      <c r="M230">
        <v>1</v>
      </c>
      <c r="N230" t="e">
        <f t="shared" si="16"/>
        <v>#N/A</v>
      </c>
      <c r="O230" t="str">
        <f t="shared" si="17"/>
        <v/>
      </c>
      <c r="P230" t="str">
        <f t="shared" si="18"/>
        <v/>
      </c>
      <c r="Q230" t="str">
        <f t="shared" si="19"/>
        <v/>
      </c>
      <c r="R230">
        <v>1</v>
      </c>
    </row>
    <row r="231" spans="1:18">
      <c r="A231">
        <f>'PSP Data'!A234</f>
        <v>0</v>
      </c>
      <c r="B231" t="str">
        <f>IF('PSP Data'!B234=0,"",'PSP Data'!B234)</f>
        <v/>
      </c>
      <c r="C231">
        <f>'PSP Data'!C234</f>
        <v>0</v>
      </c>
      <c r="D231">
        <f>'PSP Data'!D234</f>
        <v>0</v>
      </c>
      <c r="E231">
        <f>'PSP Data'!E234</f>
        <v>0</v>
      </c>
      <c r="F231">
        <f>'PSP Data'!F234</f>
        <v>0</v>
      </c>
      <c r="G231">
        <f>'PSP Data'!G234</f>
        <v>0</v>
      </c>
      <c r="H231">
        <f>'PSP Data'!H234</f>
        <v>0</v>
      </c>
      <c r="I231">
        <f>'PSP Data'!I234</f>
        <v>0</v>
      </c>
      <c r="J231" s="29" t="e">
        <f t="shared" si="15"/>
        <v>#N/A</v>
      </c>
      <c r="K231" s="29" t="e">
        <f>IF(AND((A231&lt;'PSP Data'!$C$11),(A231&lt;&gt;0)),Analysis!C231,#N/A)</f>
        <v>#N/A</v>
      </c>
      <c r="L231" t="e">
        <f>IF(VLOOKUP(B231,Table1[],4)=0,"unknown", VLOOKUP(B231,Table1[],4))</f>
        <v>#N/A</v>
      </c>
      <c r="M231">
        <v>1</v>
      </c>
      <c r="N231" t="e">
        <f t="shared" si="16"/>
        <v>#N/A</v>
      </c>
      <c r="O231" t="str">
        <f t="shared" si="17"/>
        <v/>
      </c>
      <c r="P231" t="str">
        <f t="shared" si="18"/>
        <v/>
      </c>
      <c r="Q231" t="str">
        <f t="shared" si="19"/>
        <v/>
      </c>
      <c r="R231">
        <v>1</v>
      </c>
    </row>
    <row r="232" spans="1:18">
      <c r="A232">
        <f>'PSP Data'!A235</f>
        <v>0</v>
      </c>
      <c r="B232" t="str">
        <f>IF('PSP Data'!B235=0,"",'PSP Data'!B235)</f>
        <v/>
      </c>
      <c r="C232">
        <f>'PSP Data'!C235</f>
        <v>0</v>
      </c>
      <c r="D232">
        <f>'PSP Data'!D235</f>
        <v>0</v>
      </c>
      <c r="E232">
        <f>'PSP Data'!E235</f>
        <v>0</v>
      </c>
      <c r="F232">
        <f>'PSP Data'!F235</f>
        <v>0</v>
      </c>
      <c r="G232">
        <f>'PSP Data'!G235</f>
        <v>0</v>
      </c>
      <c r="H232">
        <f>'PSP Data'!H235</f>
        <v>0</v>
      </c>
      <c r="I232">
        <f>'PSP Data'!I235</f>
        <v>0</v>
      </c>
      <c r="J232" s="29" t="e">
        <f t="shared" si="15"/>
        <v>#N/A</v>
      </c>
      <c r="K232" s="29" t="e">
        <f>IF(AND((A232&lt;'PSP Data'!$C$11),(A232&lt;&gt;0)),Analysis!C232,#N/A)</f>
        <v>#N/A</v>
      </c>
      <c r="L232" t="e">
        <f>IF(VLOOKUP(B232,Table1[],4)=0,"unknown", VLOOKUP(B232,Table1[],4))</f>
        <v>#N/A</v>
      </c>
      <c r="M232">
        <v>1</v>
      </c>
      <c r="N232" t="e">
        <f t="shared" si="16"/>
        <v>#N/A</v>
      </c>
      <c r="O232" t="str">
        <f t="shared" si="17"/>
        <v/>
      </c>
      <c r="P232" t="str">
        <f t="shared" si="18"/>
        <v/>
      </c>
      <c r="Q232" t="str">
        <f t="shared" si="19"/>
        <v/>
      </c>
      <c r="R232">
        <v>1</v>
      </c>
    </row>
    <row r="233" spans="1:18">
      <c r="A233">
        <f>'PSP Data'!A236</f>
        <v>0</v>
      </c>
      <c r="B233" t="str">
        <f>IF('PSP Data'!B236=0,"",'PSP Data'!B236)</f>
        <v/>
      </c>
      <c r="C233">
        <f>'PSP Data'!C236</f>
        <v>0</v>
      </c>
      <c r="D233">
        <f>'PSP Data'!D236</f>
        <v>0</v>
      </c>
      <c r="E233">
        <f>'PSP Data'!E236</f>
        <v>0</v>
      </c>
      <c r="F233">
        <f>'PSP Data'!F236</f>
        <v>0</v>
      </c>
      <c r="G233">
        <f>'PSP Data'!G236</f>
        <v>0</v>
      </c>
      <c r="H233">
        <f>'PSP Data'!H236</f>
        <v>0</v>
      </c>
      <c r="I233">
        <f>'PSP Data'!I236</f>
        <v>0</v>
      </c>
      <c r="J233" s="29" t="e">
        <f t="shared" si="15"/>
        <v>#N/A</v>
      </c>
      <c r="K233" s="29" t="e">
        <f>IF(AND((A233&lt;'PSP Data'!$C$11),(A233&lt;&gt;0)),Analysis!C233,#N/A)</f>
        <v>#N/A</v>
      </c>
      <c r="L233" t="e">
        <f>IF(VLOOKUP(B233,Table1[],4)=0,"unknown", VLOOKUP(B233,Table1[],4))</f>
        <v>#N/A</v>
      </c>
      <c r="M233">
        <v>1</v>
      </c>
      <c r="N233" t="e">
        <f t="shared" si="16"/>
        <v>#N/A</v>
      </c>
      <c r="O233" t="str">
        <f t="shared" si="17"/>
        <v/>
      </c>
      <c r="P233" t="str">
        <f t="shared" si="18"/>
        <v/>
      </c>
      <c r="Q233" t="str">
        <f t="shared" si="19"/>
        <v/>
      </c>
      <c r="R233">
        <v>1</v>
      </c>
    </row>
    <row r="234" spans="1:18">
      <c r="A234">
        <f>'PSP Data'!A237</f>
        <v>0</v>
      </c>
      <c r="B234" t="str">
        <f>IF('PSP Data'!B237=0,"",'PSP Data'!B237)</f>
        <v/>
      </c>
      <c r="C234">
        <f>'PSP Data'!C237</f>
        <v>0</v>
      </c>
      <c r="D234">
        <f>'PSP Data'!D237</f>
        <v>0</v>
      </c>
      <c r="E234">
        <f>'PSP Data'!E237</f>
        <v>0</v>
      </c>
      <c r="F234">
        <f>'PSP Data'!F237</f>
        <v>0</v>
      </c>
      <c r="G234">
        <f>'PSP Data'!G237</f>
        <v>0</v>
      </c>
      <c r="H234">
        <f>'PSP Data'!H237</f>
        <v>0</v>
      </c>
      <c r="I234">
        <f>'PSP Data'!I237</f>
        <v>0</v>
      </c>
      <c r="J234" s="29" t="e">
        <f t="shared" si="15"/>
        <v>#N/A</v>
      </c>
      <c r="K234" s="29" t="e">
        <f>IF(AND((A234&lt;'PSP Data'!$C$11),(A234&lt;&gt;0)),Analysis!C234,#N/A)</f>
        <v>#N/A</v>
      </c>
      <c r="L234" t="e">
        <f>IF(VLOOKUP(B234,Table1[],4)=0,"unknown", VLOOKUP(B234,Table1[],4))</f>
        <v>#N/A</v>
      </c>
      <c r="M234">
        <v>1</v>
      </c>
      <c r="N234" t="e">
        <f t="shared" si="16"/>
        <v>#N/A</v>
      </c>
      <c r="O234" t="str">
        <f t="shared" si="17"/>
        <v/>
      </c>
      <c r="P234" t="str">
        <f t="shared" si="18"/>
        <v/>
      </c>
      <c r="Q234" t="str">
        <f t="shared" si="19"/>
        <v/>
      </c>
      <c r="R234">
        <v>1</v>
      </c>
    </row>
    <row r="235" spans="1:18">
      <c r="A235">
        <f>'PSP Data'!A238</f>
        <v>0</v>
      </c>
      <c r="B235" t="str">
        <f>IF('PSP Data'!B238=0,"",'PSP Data'!B238)</f>
        <v/>
      </c>
      <c r="C235">
        <f>'PSP Data'!C238</f>
        <v>0</v>
      </c>
      <c r="D235">
        <f>'PSP Data'!D238</f>
        <v>0</v>
      </c>
      <c r="E235">
        <f>'PSP Data'!E238</f>
        <v>0</v>
      </c>
      <c r="F235">
        <f>'PSP Data'!F238</f>
        <v>0</v>
      </c>
      <c r="G235">
        <f>'PSP Data'!G238</f>
        <v>0</v>
      </c>
      <c r="H235">
        <f>'PSP Data'!H238</f>
        <v>0</v>
      </c>
      <c r="I235">
        <f>'PSP Data'!I238</f>
        <v>0</v>
      </c>
      <c r="J235" s="29" t="e">
        <f t="shared" si="15"/>
        <v>#N/A</v>
      </c>
      <c r="K235" s="29" t="e">
        <f>IF(AND((A235&lt;'PSP Data'!$C$11),(A235&lt;&gt;0)),Analysis!C235,#N/A)</f>
        <v>#N/A</v>
      </c>
      <c r="L235" t="e">
        <f>IF(VLOOKUP(B235,Table1[],4)=0,"unknown", VLOOKUP(B235,Table1[],4))</f>
        <v>#N/A</v>
      </c>
      <c r="M235">
        <v>1</v>
      </c>
      <c r="N235" t="e">
        <f t="shared" si="16"/>
        <v>#N/A</v>
      </c>
      <c r="O235" t="str">
        <f t="shared" si="17"/>
        <v/>
      </c>
      <c r="P235" t="str">
        <f t="shared" si="18"/>
        <v/>
      </c>
      <c r="Q235" t="str">
        <f t="shared" si="19"/>
        <v/>
      </c>
      <c r="R235">
        <v>1</v>
      </c>
    </row>
    <row r="236" spans="1:18">
      <c r="A236">
        <f>'PSP Data'!A239</f>
        <v>0</v>
      </c>
      <c r="B236" t="str">
        <f>IF('PSP Data'!B239=0,"",'PSP Data'!B239)</f>
        <v/>
      </c>
      <c r="C236">
        <f>'PSP Data'!C239</f>
        <v>0</v>
      </c>
      <c r="D236">
        <f>'PSP Data'!D239</f>
        <v>0</v>
      </c>
      <c r="E236">
        <f>'PSP Data'!E239</f>
        <v>0</v>
      </c>
      <c r="F236">
        <f>'PSP Data'!F239</f>
        <v>0</v>
      </c>
      <c r="G236">
        <f>'PSP Data'!G239</f>
        <v>0</v>
      </c>
      <c r="H236">
        <f>'PSP Data'!H239</f>
        <v>0</v>
      </c>
      <c r="I236">
        <f>'PSP Data'!I239</f>
        <v>0</v>
      </c>
      <c r="J236" s="29" t="e">
        <f t="shared" si="15"/>
        <v>#N/A</v>
      </c>
      <c r="K236" s="29" t="e">
        <f>IF(AND((A236&lt;'PSP Data'!$C$11),(A236&lt;&gt;0)),Analysis!C236,#N/A)</f>
        <v>#N/A</v>
      </c>
      <c r="L236" t="e">
        <f>IF(VLOOKUP(B236,Table1[],4)=0,"unknown", VLOOKUP(B236,Table1[],4))</f>
        <v>#N/A</v>
      </c>
      <c r="M236">
        <v>1</v>
      </c>
      <c r="N236" t="e">
        <f t="shared" si="16"/>
        <v>#N/A</v>
      </c>
      <c r="O236" t="str">
        <f t="shared" si="17"/>
        <v/>
      </c>
      <c r="P236" t="str">
        <f t="shared" si="18"/>
        <v/>
      </c>
      <c r="Q236" t="str">
        <f t="shared" si="19"/>
        <v/>
      </c>
      <c r="R236">
        <v>1</v>
      </c>
    </row>
    <row r="237" spans="1:18">
      <c r="A237">
        <f>'PSP Data'!A240</f>
        <v>0</v>
      </c>
      <c r="B237" t="str">
        <f>IF('PSP Data'!B240=0,"",'PSP Data'!B240)</f>
        <v/>
      </c>
      <c r="C237">
        <f>'PSP Data'!C240</f>
        <v>0</v>
      </c>
      <c r="D237">
        <f>'PSP Data'!D240</f>
        <v>0</v>
      </c>
      <c r="E237">
        <f>'PSP Data'!E240</f>
        <v>0</v>
      </c>
      <c r="F237">
        <f>'PSP Data'!F240</f>
        <v>0</v>
      </c>
      <c r="G237">
        <f>'PSP Data'!G240</f>
        <v>0</v>
      </c>
      <c r="H237">
        <f>'PSP Data'!H240</f>
        <v>0</v>
      </c>
      <c r="I237">
        <f>'PSP Data'!I240</f>
        <v>0</v>
      </c>
      <c r="J237" s="29" t="e">
        <f t="shared" si="15"/>
        <v>#N/A</v>
      </c>
      <c r="K237" s="29" t="e">
        <f>IF(AND((A237&lt;'PSP Data'!$C$11),(A237&lt;&gt;0)),Analysis!C237,#N/A)</f>
        <v>#N/A</v>
      </c>
      <c r="L237" t="e">
        <f>IF(VLOOKUP(B237,Table1[],4)=0,"unknown", VLOOKUP(B237,Table1[],4))</f>
        <v>#N/A</v>
      </c>
      <c r="M237">
        <v>1</v>
      </c>
      <c r="N237" t="e">
        <f t="shared" si="16"/>
        <v>#N/A</v>
      </c>
      <c r="O237" t="str">
        <f t="shared" si="17"/>
        <v/>
      </c>
      <c r="P237" t="str">
        <f t="shared" si="18"/>
        <v/>
      </c>
      <c r="Q237" t="str">
        <f t="shared" si="19"/>
        <v/>
      </c>
      <c r="R237">
        <v>1</v>
      </c>
    </row>
    <row r="238" spans="1:18">
      <c r="A238">
        <f>'PSP Data'!A241</f>
        <v>0</v>
      </c>
      <c r="B238" t="str">
        <f>IF('PSP Data'!B241=0,"",'PSP Data'!B241)</f>
        <v/>
      </c>
      <c r="C238">
        <f>'PSP Data'!C241</f>
        <v>0</v>
      </c>
      <c r="D238">
        <f>'PSP Data'!D241</f>
        <v>0</v>
      </c>
      <c r="E238">
        <f>'PSP Data'!E241</f>
        <v>0</v>
      </c>
      <c r="F238">
        <f>'PSP Data'!F241</f>
        <v>0</v>
      </c>
      <c r="G238">
        <f>'PSP Data'!G241</f>
        <v>0</v>
      </c>
      <c r="H238">
        <f>'PSP Data'!H241</f>
        <v>0</v>
      </c>
      <c r="I238">
        <f>'PSP Data'!I241</f>
        <v>0</v>
      </c>
      <c r="J238" s="29" t="e">
        <f t="shared" si="15"/>
        <v>#N/A</v>
      </c>
      <c r="K238" s="29" t="e">
        <f>IF(AND((A238&lt;'PSP Data'!$C$11),(A238&lt;&gt;0)),Analysis!C238,#N/A)</f>
        <v>#N/A</v>
      </c>
      <c r="L238" t="e">
        <f>IF(VLOOKUP(B238,Table1[],4)=0,"unknown", VLOOKUP(B238,Table1[],4))</f>
        <v>#N/A</v>
      </c>
      <c r="M238">
        <v>1</v>
      </c>
      <c r="N238" t="e">
        <f t="shared" si="16"/>
        <v>#N/A</v>
      </c>
      <c r="O238" t="str">
        <f t="shared" si="17"/>
        <v/>
      </c>
      <c r="P238" t="str">
        <f t="shared" si="18"/>
        <v/>
      </c>
      <c r="Q238" t="str">
        <f t="shared" si="19"/>
        <v/>
      </c>
      <c r="R238">
        <v>1</v>
      </c>
    </row>
    <row r="239" spans="1:18">
      <c r="A239">
        <f>'PSP Data'!A242</f>
        <v>0</v>
      </c>
      <c r="B239" t="str">
        <f>IF('PSP Data'!B242=0,"",'PSP Data'!B242)</f>
        <v/>
      </c>
      <c r="C239">
        <f>'PSP Data'!C242</f>
        <v>0</v>
      </c>
      <c r="D239">
        <f>'PSP Data'!D242</f>
        <v>0</v>
      </c>
      <c r="E239">
        <f>'PSP Data'!E242</f>
        <v>0</v>
      </c>
      <c r="F239">
        <f>'PSP Data'!F242</f>
        <v>0</v>
      </c>
      <c r="G239">
        <f>'PSP Data'!G242</f>
        <v>0</v>
      </c>
      <c r="H239">
        <f>'PSP Data'!H242</f>
        <v>0</v>
      </c>
      <c r="I239">
        <f>'PSP Data'!I242</f>
        <v>0</v>
      </c>
      <c r="J239" s="29" t="e">
        <f t="shared" si="15"/>
        <v>#N/A</v>
      </c>
      <c r="K239" s="29" t="e">
        <f>IF(AND((A239&lt;'PSP Data'!$C$11),(A239&lt;&gt;0)),Analysis!C239,#N/A)</f>
        <v>#N/A</v>
      </c>
      <c r="L239" t="e">
        <f>IF(VLOOKUP(B239,Table1[],4)=0,"unknown", VLOOKUP(B239,Table1[],4))</f>
        <v>#N/A</v>
      </c>
      <c r="M239">
        <v>1</v>
      </c>
      <c r="N239" t="e">
        <f t="shared" si="16"/>
        <v>#N/A</v>
      </c>
      <c r="O239" t="str">
        <f t="shared" si="17"/>
        <v/>
      </c>
      <c r="P239" t="str">
        <f t="shared" si="18"/>
        <v/>
      </c>
      <c r="Q239" t="str">
        <f t="shared" si="19"/>
        <v/>
      </c>
      <c r="R239">
        <v>1</v>
      </c>
    </row>
    <row r="240" spans="1:18">
      <c r="A240">
        <f>'PSP Data'!A243</f>
        <v>0</v>
      </c>
      <c r="B240" t="str">
        <f>IF('PSP Data'!B243=0,"",'PSP Data'!B243)</f>
        <v/>
      </c>
      <c r="C240">
        <f>'PSP Data'!C243</f>
        <v>0</v>
      </c>
      <c r="D240">
        <f>'PSP Data'!D243</f>
        <v>0</v>
      </c>
      <c r="E240">
        <f>'PSP Data'!E243</f>
        <v>0</v>
      </c>
      <c r="F240">
        <f>'PSP Data'!F243</f>
        <v>0</v>
      </c>
      <c r="G240">
        <f>'PSP Data'!G243</f>
        <v>0</v>
      </c>
      <c r="H240">
        <f>'PSP Data'!H243</f>
        <v>0</v>
      </c>
      <c r="I240">
        <f>'PSP Data'!I243</f>
        <v>0</v>
      </c>
      <c r="J240" s="29" t="e">
        <f t="shared" si="15"/>
        <v>#N/A</v>
      </c>
      <c r="K240" s="29" t="e">
        <f>IF(AND((A240&lt;'PSP Data'!$C$11),(A240&lt;&gt;0)),Analysis!C240,#N/A)</f>
        <v>#N/A</v>
      </c>
      <c r="L240" t="e">
        <f>IF(VLOOKUP(B240,Table1[],4)=0,"unknown", VLOOKUP(B240,Table1[],4))</f>
        <v>#N/A</v>
      </c>
      <c r="M240">
        <v>1</v>
      </c>
      <c r="N240" t="e">
        <f t="shared" si="16"/>
        <v>#N/A</v>
      </c>
      <c r="O240" t="str">
        <f t="shared" si="17"/>
        <v/>
      </c>
      <c r="P240" t="str">
        <f t="shared" si="18"/>
        <v/>
      </c>
      <c r="Q240" t="str">
        <f t="shared" si="19"/>
        <v/>
      </c>
      <c r="R240">
        <v>1</v>
      </c>
    </row>
    <row r="241" spans="1:18">
      <c r="A241">
        <f>'PSP Data'!A244</f>
        <v>0</v>
      </c>
      <c r="B241" t="str">
        <f>IF('PSP Data'!B244=0,"",'PSP Data'!B244)</f>
        <v/>
      </c>
      <c r="C241">
        <f>'PSP Data'!C244</f>
        <v>0</v>
      </c>
      <c r="D241">
        <f>'PSP Data'!D244</f>
        <v>0</v>
      </c>
      <c r="E241">
        <f>'PSP Data'!E244</f>
        <v>0</v>
      </c>
      <c r="F241">
        <f>'PSP Data'!F244</f>
        <v>0</v>
      </c>
      <c r="G241">
        <f>'PSP Data'!G244</f>
        <v>0</v>
      </c>
      <c r="H241">
        <f>'PSP Data'!H244</f>
        <v>0</v>
      </c>
      <c r="I241">
        <f>'PSP Data'!I244</f>
        <v>0</v>
      </c>
      <c r="J241" s="29" t="e">
        <f t="shared" si="15"/>
        <v>#N/A</v>
      </c>
      <c r="K241" s="29" t="e">
        <f>IF(AND((A241&lt;'PSP Data'!$C$11),(A241&lt;&gt;0)),Analysis!C241,#N/A)</f>
        <v>#N/A</v>
      </c>
      <c r="L241" t="e">
        <f>IF(VLOOKUP(B241,Table1[],4)=0,"unknown", VLOOKUP(B241,Table1[],4))</f>
        <v>#N/A</v>
      </c>
      <c r="M241">
        <v>1</v>
      </c>
      <c r="N241" t="e">
        <f t="shared" si="16"/>
        <v>#N/A</v>
      </c>
      <c r="O241" t="str">
        <f t="shared" si="17"/>
        <v/>
      </c>
      <c r="P241" t="str">
        <f t="shared" si="18"/>
        <v/>
      </c>
      <c r="Q241" t="str">
        <f t="shared" si="19"/>
        <v/>
      </c>
      <c r="R241">
        <v>1</v>
      </c>
    </row>
    <row r="242" spans="1:18">
      <c r="A242">
        <f>'PSP Data'!A245</f>
        <v>0</v>
      </c>
      <c r="B242" t="str">
        <f>IF('PSP Data'!B245=0,"",'PSP Data'!B245)</f>
        <v/>
      </c>
      <c r="C242">
        <f>'PSP Data'!C245</f>
        <v>0</v>
      </c>
      <c r="D242">
        <f>'PSP Data'!D245</f>
        <v>0</v>
      </c>
      <c r="E242">
        <f>'PSP Data'!E245</f>
        <v>0</v>
      </c>
      <c r="F242">
        <f>'PSP Data'!F245</f>
        <v>0</v>
      </c>
      <c r="G242">
        <f>'PSP Data'!G245</f>
        <v>0</v>
      </c>
      <c r="H242">
        <f>'PSP Data'!H245</f>
        <v>0</v>
      </c>
      <c r="I242">
        <f>'PSP Data'!I245</f>
        <v>0</v>
      </c>
      <c r="J242" s="29" t="e">
        <f t="shared" si="15"/>
        <v>#N/A</v>
      </c>
      <c r="K242" s="29" t="e">
        <f>IF(AND((A242&lt;'PSP Data'!$C$11),(A242&lt;&gt;0)),Analysis!C242,#N/A)</f>
        <v>#N/A</v>
      </c>
      <c r="L242" t="e">
        <f>IF(VLOOKUP(B242,Table1[],4)=0,"unknown", VLOOKUP(B242,Table1[],4))</f>
        <v>#N/A</v>
      </c>
      <c r="M242">
        <v>1</v>
      </c>
      <c r="N242" t="e">
        <f t="shared" si="16"/>
        <v>#N/A</v>
      </c>
      <c r="O242" t="str">
        <f t="shared" si="17"/>
        <v/>
      </c>
      <c r="P242" t="str">
        <f t="shared" si="18"/>
        <v/>
      </c>
      <c r="Q242" t="str">
        <f t="shared" si="19"/>
        <v/>
      </c>
      <c r="R242">
        <v>1</v>
      </c>
    </row>
    <row r="243" spans="1:18">
      <c r="A243">
        <f>'PSP Data'!A246</f>
        <v>0</v>
      </c>
      <c r="B243" t="str">
        <f>IF('PSP Data'!B246=0,"",'PSP Data'!B246)</f>
        <v/>
      </c>
      <c r="C243">
        <f>'PSP Data'!C246</f>
        <v>0</v>
      </c>
      <c r="D243">
        <f>'PSP Data'!D246</f>
        <v>0</v>
      </c>
      <c r="E243">
        <f>'PSP Data'!E246</f>
        <v>0</v>
      </c>
      <c r="F243">
        <f>'PSP Data'!F246</f>
        <v>0</v>
      </c>
      <c r="G243">
        <f>'PSP Data'!G246</f>
        <v>0</v>
      </c>
      <c r="H243">
        <f>'PSP Data'!H246</f>
        <v>0</v>
      </c>
      <c r="I243">
        <f>'PSP Data'!I246</f>
        <v>0</v>
      </c>
      <c r="J243" s="29" t="e">
        <f t="shared" si="15"/>
        <v>#N/A</v>
      </c>
      <c r="K243" s="29" t="e">
        <f>IF(AND((A243&lt;'PSP Data'!$C$11),(A243&lt;&gt;0)),Analysis!C243,#N/A)</f>
        <v>#N/A</v>
      </c>
      <c r="L243" t="e">
        <f>IF(VLOOKUP(B243,Table1[],4)=0,"unknown", VLOOKUP(B243,Table1[],4))</f>
        <v>#N/A</v>
      </c>
      <c r="M243">
        <v>1</v>
      </c>
      <c r="N243" t="e">
        <f t="shared" si="16"/>
        <v>#N/A</v>
      </c>
      <c r="O243" t="str">
        <f t="shared" si="17"/>
        <v/>
      </c>
      <c r="P243" t="str">
        <f t="shared" si="18"/>
        <v/>
      </c>
      <c r="Q243" t="str">
        <f t="shared" si="19"/>
        <v/>
      </c>
      <c r="R243">
        <v>1</v>
      </c>
    </row>
    <row r="244" spans="1:18">
      <c r="A244">
        <f>'PSP Data'!A247</f>
        <v>0</v>
      </c>
      <c r="B244" t="str">
        <f>IF('PSP Data'!B247=0,"",'PSP Data'!B247)</f>
        <v/>
      </c>
      <c r="C244">
        <f>'PSP Data'!C247</f>
        <v>0</v>
      </c>
      <c r="D244">
        <f>'PSP Data'!D247</f>
        <v>0</v>
      </c>
      <c r="E244">
        <f>'PSP Data'!E247</f>
        <v>0</v>
      </c>
      <c r="F244">
        <f>'PSP Data'!F247</f>
        <v>0</v>
      </c>
      <c r="G244">
        <f>'PSP Data'!G247</f>
        <v>0</v>
      </c>
      <c r="H244">
        <f>'PSP Data'!H247</f>
        <v>0</v>
      </c>
      <c r="I244">
        <f>'PSP Data'!I247</f>
        <v>0</v>
      </c>
      <c r="J244" s="29" t="e">
        <f t="shared" si="15"/>
        <v>#N/A</v>
      </c>
      <c r="K244" s="29" t="e">
        <f>IF(AND((A244&lt;'PSP Data'!$C$11),(A244&lt;&gt;0)),Analysis!C244,#N/A)</f>
        <v>#N/A</v>
      </c>
      <c r="L244" t="e">
        <f>IF(VLOOKUP(B244,Table1[],4)=0,"unknown", VLOOKUP(B244,Table1[],4))</f>
        <v>#N/A</v>
      </c>
      <c r="M244">
        <v>1</v>
      </c>
      <c r="N244" t="e">
        <f t="shared" si="16"/>
        <v>#N/A</v>
      </c>
      <c r="O244" t="str">
        <f t="shared" si="17"/>
        <v/>
      </c>
      <c r="P244" t="str">
        <f t="shared" si="18"/>
        <v/>
      </c>
      <c r="Q244" t="str">
        <f t="shared" si="19"/>
        <v/>
      </c>
      <c r="R244">
        <v>1</v>
      </c>
    </row>
    <row r="245" spans="1:18">
      <c r="A245">
        <f>'PSP Data'!A248</f>
        <v>0</v>
      </c>
      <c r="B245" t="str">
        <f>IF('PSP Data'!B248=0,"",'PSP Data'!B248)</f>
        <v/>
      </c>
      <c r="C245">
        <f>'PSP Data'!C248</f>
        <v>0</v>
      </c>
      <c r="D245">
        <f>'PSP Data'!D248</f>
        <v>0</v>
      </c>
      <c r="E245">
        <f>'PSP Data'!E248</f>
        <v>0</v>
      </c>
      <c r="F245">
        <f>'PSP Data'!F248</f>
        <v>0</v>
      </c>
      <c r="G245">
        <f>'PSP Data'!G248</f>
        <v>0</v>
      </c>
      <c r="H245">
        <f>'PSP Data'!H248</f>
        <v>0</v>
      </c>
      <c r="I245">
        <f>'PSP Data'!I248</f>
        <v>0</v>
      </c>
      <c r="J245" s="29" t="e">
        <f t="shared" si="15"/>
        <v>#N/A</v>
      </c>
      <c r="K245" s="29" t="e">
        <f>IF(AND((A245&lt;'PSP Data'!$C$11),(A245&lt;&gt;0)),Analysis!C245,#N/A)</f>
        <v>#N/A</v>
      </c>
      <c r="L245" t="e">
        <f>IF(VLOOKUP(B245,Table1[],4)=0,"unknown", VLOOKUP(B245,Table1[],4))</f>
        <v>#N/A</v>
      </c>
      <c r="M245">
        <v>1</v>
      </c>
      <c r="N245" t="e">
        <f t="shared" si="16"/>
        <v>#N/A</v>
      </c>
      <c r="O245" t="str">
        <f t="shared" si="17"/>
        <v/>
      </c>
      <c r="P245" t="str">
        <f t="shared" si="18"/>
        <v/>
      </c>
      <c r="Q245" t="str">
        <f t="shared" si="19"/>
        <v/>
      </c>
      <c r="R245">
        <v>1</v>
      </c>
    </row>
    <row r="246" spans="1:18">
      <c r="A246">
        <f>'PSP Data'!A249</f>
        <v>0</v>
      </c>
      <c r="B246" t="str">
        <f>IF('PSP Data'!B249=0,"",'PSP Data'!B249)</f>
        <v/>
      </c>
      <c r="C246">
        <f>'PSP Data'!C249</f>
        <v>0</v>
      </c>
      <c r="D246">
        <f>'PSP Data'!D249</f>
        <v>0</v>
      </c>
      <c r="E246">
        <f>'PSP Data'!E249</f>
        <v>0</v>
      </c>
      <c r="F246">
        <f>'PSP Data'!F249</f>
        <v>0</v>
      </c>
      <c r="G246">
        <f>'PSP Data'!G249</f>
        <v>0</v>
      </c>
      <c r="H246">
        <f>'PSP Data'!H249</f>
        <v>0</v>
      </c>
      <c r="I246">
        <f>'PSP Data'!I249</f>
        <v>0</v>
      </c>
      <c r="J246" s="29" t="e">
        <f t="shared" si="15"/>
        <v>#N/A</v>
      </c>
      <c r="K246" s="29" t="e">
        <f>IF(AND((A246&lt;'PSP Data'!$C$11),(A246&lt;&gt;0)),Analysis!C246,#N/A)</f>
        <v>#N/A</v>
      </c>
      <c r="L246" t="e">
        <f>IF(VLOOKUP(B246,Table1[],4)=0,"unknown", VLOOKUP(B246,Table1[],4))</f>
        <v>#N/A</v>
      </c>
      <c r="M246">
        <v>1</v>
      </c>
      <c r="N246" t="e">
        <f t="shared" si="16"/>
        <v>#N/A</v>
      </c>
      <c r="O246" t="str">
        <f t="shared" si="17"/>
        <v/>
      </c>
      <c r="P246" t="str">
        <f t="shared" si="18"/>
        <v/>
      </c>
      <c r="Q246" t="str">
        <f t="shared" si="19"/>
        <v/>
      </c>
      <c r="R246">
        <v>1</v>
      </c>
    </row>
    <row r="247" spans="1:18">
      <c r="A247">
        <f>'PSP Data'!A250</f>
        <v>0</v>
      </c>
      <c r="B247" t="str">
        <f>IF('PSP Data'!B250=0,"",'PSP Data'!B250)</f>
        <v/>
      </c>
      <c r="C247">
        <f>'PSP Data'!C250</f>
        <v>0</v>
      </c>
      <c r="D247">
        <f>'PSP Data'!D250</f>
        <v>0</v>
      </c>
      <c r="E247">
        <f>'PSP Data'!E250</f>
        <v>0</v>
      </c>
      <c r="F247">
        <f>'PSP Data'!F250</f>
        <v>0</v>
      </c>
      <c r="G247">
        <f>'PSP Data'!G250</f>
        <v>0</v>
      </c>
      <c r="H247">
        <f>'PSP Data'!H250</f>
        <v>0</v>
      </c>
      <c r="I247">
        <f>'PSP Data'!I250</f>
        <v>0</v>
      </c>
      <c r="J247" s="29" t="e">
        <f t="shared" si="15"/>
        <v>#N/A</v>
      </c>
      <c r="K247" s="29" t="e">
        <f>IF(AND((A247&lt;'PSP Data'!$C$11),(A247&lt;&gt;0)),Analysis!C247,#N/A)</f>
        <v>#N/A</v>
      </c>
      <c r="L247" t="e">
        <f>IF(VLOOKUP(B247,Table1[],4)=0,"unknown", VLOOKUP(B247,Table1[],4))</f>
        <v>#N/A</v>
      </c>
      <c r="M247">
        <v>1</v>
      </c>
      <c r="N247" t="e">
        <f t="shared" si="16"/>
        <v>#N/A</v>
      </c>
      <c r="O247" t="str">
        <f t="shared" si="17"/>
        <v/>
      </c>
      <c r="P247" t="str">
        <f t="shared" si="18"/>
        <v/>
      </c>
      <c r="Q247" t="str">
        <f t="shared" si="19"/>
        <v/>
      </c>
      <c r="R247">
        <v>1</v>
      </c>
    </row>
    <row r="248" spans="1:18">
      <c r="A248">
        <f>'PSP Data'!A251</f>
        <v>0</v>
      </c>
      <c r="B248" t="str">
        <f>IF('PSP Data'!B251=0,"",'PSP Data'!B251)</f>
        <v/>
      </c>
      <c r="C248">
        <f>'PSP Data'!C251</f>
        <v>0</v>
      </c>
      <c r="D248">
        <f>'PSP Data'!D251</f>
        <v>0</v>
      </c>
      <c r="E248">
        <f>'PSP Data'!E251</f>
        <v>0</v>
      </c>
      <c r="F248">
        <f>'PSP Data'!F251</f>
        <v>0</v>
      </c>
      <c r="G248">
        <f>'PSP Data'!G251</f>
        <v>0</v>
      </c>
      <c r="H248">
        <f>'PSP Data'!H251</f>
        <v>0</v>
      </c>
      <c r="I248">
        <f>'PSP Data'!I251</f>
        <v>0</v>
      </c>
      <c r="J248" s="29" t="e">
        <f t="shared" si="15"/>
        <v>#N/A</v>
      </c>
      <c r="K248" s="29" t="e">
        <f>IF(AND((A248&lt;'PSP Data'!$C$11),(A248&lt;&gt;0)),Analysis!C248,#N/A)</f>
        <v>#N/A</v>
      </c>
      <c r="L248" t="e">
        <f>IF(VLOOKUP(B248,Table1[],4)=0,"unknown", VLOOKUP(B248,Table1[],4))</f>
        <v>#N/A</v>
      </c>
      <c r="M248">
        <v>1</v>
      </c>
      <c r="N248" t="e">
        <f t="shared" si="16"/>
        <v>#N/A</v>
      </c>
      <c r="O248" t="str">
        <f t="shared" si="17"/>
        <v/>
      </c>
      <c r="P248" t="str">
        <f t="shared" si="18"/>
        <v/>
      </c>
      <c r="Q248" t="str">
        <f t="shared" si="19"/>
        <v/>
      </c>
      <c r="R248">
        <v>1</v>
      </c>
    </row>
    <row r="249" spans="1:18">
      <c r="A249">
        <f>'PSP Data'!A252</f>
        <v>0</v>
      </c>
      <c r="B249" t="str">
        <f>IF('PSP Data'!B252=0,"",'PSP Data'!B252)</f>
        <v/>
      </c>
      <c r="C249">
        <f>'PSP Data'!C252</f>
        <v>0</v>
      </c>
      <c r="D249">
        <f>'PSP Data'!D252</f>
        <v>0</v>
      </c>
      <c r="E249">
        <f>'PSP Data'!E252</f>
        <v>0</v>
      </c>
      <c r="F249">
        <f>'PSP Data'!F252</f>
        <v>0</v>
      </c>
      <c r="G249">
        <f>'PSP Data'!G252</f>
        <v>0</v>
      </c>
      <c r="H249">
        <f>'PSP Data'!H252</f>
        <v>0</v>
      </c>
      <c r="I249">
        <f>'PSP Data'!I252</f>
        <v>0</v>
      </c>
      <c r="J249" s="29" t="e">
        <f t="shared" si="15"/>
        <v>#N/A</v>
      </c>
      <c r="K249" s="29" t="e">
        <f>IF(AND((A249&lt;'PSP Data'!$C$11),(A249&lt;&gt;0)),Analysis!C249,#N/A)</f>
        <v>#N/A</v>
      </c>
      <c r="L249" t="e">
        <f>IF(VLOOKUP(B249,Table1[],4)=0,"unknown", VLOOKUP(B249,Table1[],4))</f>
        <v>#N/A</v>
      </c>
      <c r="M249">
        <v>1</v>
      </c>
      <c r="N249" t="e">
        <f t="shared" si="16"/>
        <v>#N/A</v>
      </c>
      <c r="O249" t="str">
        <f t="shared" si="17"/>
        <v/>
      </c>
      <c r="P249" t="str">
        <f t="shared" si="18"/>
        <v/>
      </c>
      <c r="Q249" t="str">
        <f t="shared" si="19"/>
        <v/>
      </c>
      <c r="R249">
        <v>1</v>
      </c>
    </row>
    <row r="250" spans="1:18">
      <c r="A250">
        <f>'PSP Data'!A253</f>
        <v>0</v>
      </c>
      <c r="B250" t="str">
        <f>IF('PSP Data'!B253=0,"",'PSP Data'!B253)</f>
        <v/>
      </c>
      <c r="C250">
        <f>'PSP Data'!C253</f>
        <v>0</v>
      </c>
      <c r="D250">
        <f>'PSP Data'!D253</f>
        <v>0</v>
      </c>
      <c r="E250">
        <f>'PSP Data'!E253</f>
        <v>0</v>
      </c>
      <c r="F250">
        <f>'PSP Data'!F253</f>
        <v>0</v>
      </c>
      <c r="G250">
        <f>'PSP Data'!G253</f>
        <v>0</v>
      </c>
      <c r="H250">
        <f>'PSP Data'!H253</f>
        <v>0</v>
      </c>
      <c r="I250">
        <f>'PSP Data'!I253</f>
        <v>0</v>
      </c>
      <c r="J250" s="29" t="e">
        <f t="shared" si="15"/>
        <v>#N/A</v>
      </c>
      <c r="K250" s="29" t="e">
        <f>IF(AND((A250&lt;'PSP Data'!$C$11),(A250&lt;&gt;0)),Analysis!C250,#N/A)</f>
        <v>#N/A</v>
      </c>
      <c r="L250" t="e">
        <f>IF(VLOOKUP(B250,Table1[],4)=0,"unknown", VLOOKUP(B250,Table1[],4))</f>
        <v>#N/A</v>
      </c>
      <c r="M250">
        <v>1</v>
      </c>
      <c r="N250" t="e">
        <f t="shared" si="16"/>
        <v>#N/A</v>
      </c>
      <c r="O250" t="str">
        <f t="shared" si="17"/>
        <v/>
      </c>
      <c r="P250" t="str">
        <f t="shared" si="18"/>
        <v/>
      </c>
      <c r="Q250" t="str">
        <f t="shared" si="19"/>
        <v/>
      </c>
      <c r="R250">
        <v>1</v>
      </c>
    </row>
    <row r="251" spans="1:18">
      <c r="A251">
        <f>'PSP Data'!A254</f>
        <v>0</v>
      </c>
      <c r="B251" t="str">
        <f>IF('PSP Data'!B254=0,"",'PSP Data'!B254)</f>
        <v/>
      </c>
      <c r="C251">
        <f>'PSP Data'!C254</f>
        <v>0</v>
      </c>
      <c r="D251">
        <f>'PSP Data'!D254</f>
        <v>0</v>
      </c>
      <c r="E251">
        <f>'PSP Data'!E254</f>
        <v>0</v>
      </c>
      <c r="F251">
        <f>'PSP Data'!F254</f>
        <v>0</v>
      </c>
      <c r="G251">
        <f>'PSP Data'!G254</f>
        <v>0</v>
      </c>
      <c r="H251">
        <f>'PSP Data'!H254</f>
        <v>0</v>
      </c>
      <c r="I251">
        <f>'PSP Data'!I254</f>
        <v>0</v>
      </c>
      <c r="J251" s="29" t="e">
        <f t="shared" si="15"/>
        <v>#N/A</v>
      </c>
      <c r="K251" s="29" t="e">
        <f>IF(AND((A251&lt;'PSP Data'!$C$11),(A251&lt;&gt;0)),Analysis!C251,#N/A)</f>
        <v>#N/A</v>
      </c>
      <c r="L251" t="e">
        <f>IF(VLOOKUP(B251,Table1[],4)=0,"unknown", VLOOKUP(B251,Table1[],4))</f>
        <v>#N/A</v>
      </c>
      <c r="M251">
        <v>1</v>
      </c>
      <c r="N251" t="e">
        <f t="shared" si="16"/>
        <v>#N/A</v>
      </c>
      <c r="O251" t="str">
        <f t="shared" si="17"/>
        <v/>
      </c>
      <c r="P251" t="str">
        <f t="shared" si="18"/>
        <v/>
      </c>
      <c r="Q251" t="str">
        <f t="shared" si="19"/>
        <v/>
      </c>
      <c r="R251">
        <v>1</v>
      </c>
    </row>
    <row r="252" spans="1:18">
      <c r="A252">
        <f>'PSP Data'!A255</f>
        <v>0</v>
      </c>
      <c r="B252" t="str">
        <f>IF('PSP Data'!B255=0,"",'PSP Data'!B255)</f>
        <v/>
      </c>
      <c r="C252">
        <f>'PSP Data'!C255</f>
        <v>0</v>
      </c>
      <c r="D252">
        <f>'PSP Data'!D255</f>
        <v>0</v>
      </c>
      <c r="E252">
        <f>'PSP Data'!E255</f>
        <v>0</v>
      </c>
      <c r="F252">
        <f>'PSP Data'!F255</f>
        <v>0</v>
      </c>
      <c r="G252">
        <f>'PSP Data'!G255</f>
        <v>0</v>
      </c>
      <c r="H252">
        <f>'PSP Data'!H255</f>
        <v>0</v>
      </c>
      <c r="I252">
        <f>'PSP Data'!I255</f>
        <v>0</v>
      </c>
      <c r="J252" s="29" t="e">
        <f t="shared" si="15"/>
        <v>#N/A</v>
      </c>
      <c r="K252" s="29" t="e">
        <f>IF(AND((A252&lt;'PSP Data'!$C$11),(A252&lt;&gt;0)),Analysis!C252,#N/A)</f>
        <v>#N/A</v>
      </c>
      <c r="L252" t="e">
        <f>IF(VLOOKUP(B252,Table1[],4)=0,"unknown", VLOOKUP(B252,Table1[],4))</f>
        <v>#N/A</v>
      </c>
      <c r="M252">
        <v>1</v>
      </c>
      <c r="N252" t="e">
        <f t="shared" si="16"/>
        <v>#N/A</v>
      </c>
      <c r="O252" t="str">
        <f t="shared" si="17"/>
        <v/>
      </c>
      <c r="P252" t="str">
        <f t="shared" si="18"/>
        <v/>
      </c>
      <c r="Q252" t="str">
        <f t="shared" si="19"/>
        <v/>
      </c>
      <c r="R252">
        <v>1</v>
      </c>
    </row>
    <row r="253" spans="1:18">
      <c r="A253">
        <f>'PSP Data'!A256</f>
        <v>0</v>
      </c>
      <c r="B253" t="str">
        <f>IF('PSP Data'!B256=0,"",'PSP Data'!B256)</f>
        <v/>
      </c>
      <c r="C253">
        <f>'PSP Data'!C256</f>
        <v>0</v>
      </c>
      <c r="D253">
        <f>'PSP Data'!D256</f>
        <v>0</v>
      </c>
      <c r="E253">
        <f>'PSP Data'!E256</f>
        <v>0</v>
      </c>
      <c r="F253">
        <f>'PSP Data'!F256</f>
        <v>0</v>
      </c>
      <c r="G253">
        <f>'PSP Data'!G256</f>
        <v>0</v>
      </c>
      <c r="H253">
        <f>'PSP Data'!H256</f>
        <v>0</v>
      </c>
      <c r="I253">
        <f>'PSP Data'!I256</f>
        <v>0</v>
      </c>
      <c r="J253" s="29" t="e">
        <f t="shared" si="15"/>
        <v>#N/A</v>
      </c>
      <c r="K253" s="29" t="e">
        <f>IF(AND((A253&lt;'PSP Data'!$C$11),(A253&lt;&gt;0)),Analysis!C253,#N/A)</f>
        <v>#N/A</v>
      </c>
      <c r="L253" t="e">
        <f>IF(VLOOKUP(B253,Table1[],4)=0,"unknown", VLOOKUP(B253,Table1[],4))</f>
        <v>#N/A</v>
      </c>
      <c r="M253">
        <v>1</v>
      </c>
      <c r="N253" t="e">
        <f t="shared" si="16"/>
        <v>#N/A</v>
      </c>
      <c r="O253" t="str">
        <f t="shared" si="17"/>
        <v/>
      </c>
      <c r="P253" t="str">
        <f t="shared" si="18"/>
        <v/>
      </c>
      <c r="Q253" t="str">
        <f t="shared" si="19"/>
        <v/>
      </c>
      <c r="R253">
        <v>1</v>
      </c>
    </row>
    <row r="254" spans="1:18">
      <c r="A254">
        <f>'PSP Data'!A257</f>
        <v>0</v>
      </c>
      <c r="B254" t="str">
        <f>IF('PSP Data'!B257=0,"",'PSP Data'!B257)</f>
        <v/>
      </c>
      <c r="C254">
        <f>'PSP Data'!C257</f>
        <v>0</v>
      </c>
      <c r="D254">
        <f>'PSP Data'!D257</f>
        <v>0</v>
      </c>
      <c r="E254">
        <f>'PSP Data'!E257</f>
        <v>0</v>
      </c>
      <c r="F254">
        <f>'PSP Data'!F257</f>
        <v>0</v>
      </c>
      <c r="G254">
        <f>'PSP Data'!G257</f>
        <v>0</v>
      </c>
      <c r="H254">
        <f>'PSP Data'!H257</f>
        <v>0</v>
      </c>
      <c r="I254">
        <f>'PSP Data'!I257</f>
        <v>0</v>
      </c>
      <c r="J254" s="29" t="e">
        <f t="shared" si="15"/>
        <v>#N/A</v>
      </c>
      <c r="K254" s="29" t="e">
        <f>IF(AND((A254&lt;'PSP Data'!$C$11),(A254&lt;&gt;0)),Analysis!C254,#N/A)</f>
        <v>#N/A</v>
      </c>
      <c r="L254" t="e">
        <f>IF(VLOOKUP(B254,Table1[],4)=0,"unknown", VLOOKUP(B254,Table1[],4))</f>
        <v>#N/A</v>
      </c>
      <c r="M254">
        <v>1</v>
      </c>
      <c r="N254" t="e">
        <f t="shared" si="16"/>
        <v>#N/A</v>
      </c>
      <c r="O254" t="str">
        <f t="shared" si="17"/>
        <v/>
      </c>
      <c r="P254" t="str">
        <f t="shared" si="18"/>
        <v/>
      </c>
      <c r="Q254" t="str">
        <f t="shared" si="19"/>
        <v/>
      </c>
      <c r="R254">
        <v>1</v>
      </c>
    </row>
    <row r="255" spans="1:18">
      <c r="A255">
        <f>'PSP Data'!A258</f>
        <v>0</v>
      </c>
      <c r="B255" t="str">
        <f>IF('PSP Data'!B258=0,"",'PSP Data'!B258)</f>
        <v/>
      </c>
      <c r="C255">
        <f>'PSP Data'!C258</f>
        <v>0</v>
      </c>
      <c r="D255">
        <f>'PSP Data'!D258</f>
        <v>0</v>
      </c>
      <c r="E255">
        <f>'PSP Data'!E258</f>
        <v>0</v>
      </c>
      <c r="F255">
        <f>'PSP Data'!F258</f>
        <v>0</v>
      </c>
      <c r="G255">
        <f>'PSP Data'!G258</f>
        <v>0</v>
      </c>
      <c r="H255">
        <f>'PSP Data'!H258</f>
        <v>0</v>
      </c>
      <c r="I255">
        <f>'PSP Data'!I258</f>
        <v>0</v>
      </c>
      <c r="J255" s="29" t="e">
        <f t="shared" si="15"/>
        <v>#N/A</v>
      </c>
      <c r="K255" s="29" t="e">
        <f>IF(AND((A255&lt;'PSP Data'!$C$11),(A255&lt;&gt;0)),Analysis!C255,#N/A)</f>
        <v>#N/A</v>
      </c>
      <c r="L255" t="e">
        <f>IF(VLOOKUP(B255,Table1[],4)=0,"unknown", VLOOKUP(B255,Table1[],4))</f>
        <v>#N/A</v>
      </c>
      <c r="M255">
        <v>1</v>
      </c>
      <c r="N255" t="e">
        <f t="shared" si="16"/>
        <v>#N/A</v>
      </c>
      <c r="O255" t="str">
        <f t="shared" si="17"/>
        <v/>
      </c>
      <c r="P255" t="str">
        <f t="shared" si="18"/>
        <v/>
      </c>
      <c r="Q255" t="str">
        <f t="shared" si="19"/>
        <v/>
      </c>
      <c r="R255">
        <v>1</v>
      </c>
    </row>
    <row r="256" spans="1:18">
      <c r="A256">
        <f>'PSP Data'!A259</f>
        <v>0</v>
      </c>
      <c r="B256" t="str">
        <f>IF('PSP Data'!B259=0,"",'PSP Data'!B259)</f>
        <v/>
      </c>
      <c r="C256">
        <f>'PSP Data'!C259</f>
        <v>0</v>
      </c>
      <c r="D256">
        <f>'PSP Data'!D259</f>
        <v>0</v>
      </c>
      <c r="E256">
        <f>'PSP Data'!E259</f>
        <v>0</v>
      </c>
      <c r="F256">
        <f>'PSP Data'!F259</f>
        <v>0</v>
      </c>
      <c r="G256">
        <f>'PSP Data'!G259</f>
        <v>0</v>
      </c>
      <c r="H256">
        <f>'PSP Data'!H259</f>
        <v>0</v>
      </c>
      <c r="I256">
        <f>'PSP Data'!I259</f>
        <v>0</v>
      </c>
      <c r="J256" s="29" t="e">
        <f t="shared" si="15"/>
        <v>#N/A</v>
      </c>
      <c r="K256" s="29" t="e">
        <f>IF(AND((A256&lt;'PSP Data'!$C$11),(A256&lt;&gt;0)),Analysis!C256,#N/A)</f>
        <v>#N/A</v>
      </c>
      <c r="L256" t="e">
        <f>IF(VLOOKUP(B256,Table1[],4)=0,"unknown", VLOOKUP(B256,Table1[],4))</f>
        <v>#N/A</v>
      </c>
      <c r="M256">
        <v>1</v>
      </c>
      <c r="N256" t="e">
        <f t="shared" si="16"/>
        <v>#N/A</v>
      </c>
      <c r="O256" t="str">
        <f t="shared" si="17"/>
        <v/>
      </c>
      <c r="P256" t="str">
        <f t="shared" si="18"/>
        <v/>
      </c>
      <c r="Q256" t="str">
        <f t="shared" si="19"/>
        <v/>
      </c>
      <c r="R256">
        <v>1</v>
      </c>
    </row>
    <row r="257" spans="1:18">
      <c r="A257">
        <f>'PSP Data'!A260</f>
        <v>0</v>
      </c>
      <c r="B257" t="str">
        <f>IF('PSP Data'!B260=0,"",'PSP Data'!B260)</f>
        <v/>
      </c>
      <c r="C257">
        <f>'PSP Data'!C260</f>
        <v>0</v>
      </c>
      <c r="D257">
        <f>'PSP Data'!D260</f>
        <v>0</v>
      </c>
      <c r="E257">
        <f>'PSP Data'!E260</f>
        <v>0</v>
      </c>
      <c r="F257">
        <f>'PSP Data'!F260</f>
        <v>0</v>
      </c>
      <c r="G257">
        <f>'PSP Data'!G260</f>
        <v>0</v>
      </c>
      <c r="H257">
        <f>'PSP Data'!H260</f>
        <v>0</v>
      </c>
      <c r="I257">
        <f>'PSP Data'!I260</f>
        <v>0</v>
      </c>
      <c r="J257" s="29" t="e">
        <f t="shared" si="15"/>
        <v>#N/A</v>
      </c>
      <c r="K257" s="29" t="e">
        <f>IF(AND((A257&lt;'PSP Data'!$C$11),(A257&lt;&gt;0)),Analysis!C257,#N/A)</f>
        <v>#N/A</v>
      </c>
      <c r="L257" t="e">
        <f>IF(VLOOKUP(B257,Table1[],4)=0,"unknown", VLOOKUP(B257,Table1[],4))</f>
        <v>#N/A</v>
      </c>
      <c r="M257">
        <v>1</v>
      </c>
      <c r="N257" t="e">
        <f t="shared" si="16"/>
        <v>#N/A</v>
      </c>
      <c r="O257" t="str">
        <f t="shared" si="17"/>
        <v/>
      </c>
      <c r="P257" t="str">
        <f t="shared" si="18"/>
        <v/>
      </c>
      <c r="Q257" t="str">
        <f t="shared" si="19"/>
        <v/>
      </c>
      <c r="R257">
        <v>1</v>
      </c>
    </row>
    <row r="258" spans="1:18">
      <c r="A258">
        <f>'PSP Data'!A261</f>
        <v>0</v>
      </c>
      <c r="B258" t="str">
        <f>IF('PSP Data'!B261=0,"",'PSP Data'!B261)</f>
        <v/>
      </c>
      <c r="C258">
        <f>'PSP Data'!C261</f>
        <v>0</v>
      </c>
      <c r="D258">
        <f>'PSP Data'!D261</f>
        <v>0</v>
      </c>
      <c r="E258">
        <f>'PSP Data'!E261</f>
        <v>0</v>
      </c>
      <c r="F258">
        <f>'PSP Data'!F261</f>
        <v>0</v>
      </c>
      <c r="G258">
        <f>'PSP Data'!G261</f>
        <v>0</v>
      </c>
      <c r="H258">
        <f>'PSP Data'!H261</f>
        <v>0</v>
      </c>
      <c r="I258">
        <f>'PSP Data'!I261</f>
        <v>0</v>
      </c>
      <c r="J258" s="29" t="e">
        <f t="shared" si="15"/>
        <v>#N/A</v>
      </c>
      <c r="K258" s="29" t="e">
        <f>IF(AND((A258&lt;'PSP Data'!$C$11),(A258&lt;&gt;0)),Analysis!C258,#N/A)</f>
        <v>#N/A</v>
      </c>
      <c r="L258" t="e">
        <f>IF(VLOOKUP(B258,Table1[],4)=0,"unknown", VLOOKUP(B258,Table1[],4))</f>
        <v>#N/A</v>
      </c>
      <c r="M258">
        <v>1</v>
      </c>
      <c r="N258" t="e">
        <f t="shared" si="16"/>
        <v>#N/A</v>
      </c>
      <c r="O258" t="str">
        <f t="shared" si="17"/>
        <v/>
      </c>
      <c r="P258" t="str">
        <f t="shared" si="18"/>
        <v/>
      </c>
      <c r="Q258" t="str">
        <f t="shared" si="19"/>
        <v/>
      </c>
      <c r="R258">
        <v>1</v>
      </c>
    </row>
    <row r="259" spans="1:18">
      <c r="A259">
        <f>'PSP Data'!A262</f>
        <v>0</v>
      </c>
      <c r="B259" t="str">
        <f>IF('PSP Data'!B262=0,"",'PSP Data'!B262)</f>
        <v/>
      </c>
      <c r="C259">
        <f>'PSP Data'!C262</f>
        <v>0</v>
      </c>
      <c r="D259">
        <f>'PSP Data'!D262</f>
        <v>0</v>
      </c>
      <c r="E259">
        <f>'PSP Data'!E262</f>
        <v>0</v>
      </c>
      <c r="F259">
        <f>'PSP Data'!F262</f>
        <v>0</v>
      </c>
      <c r="G259">
        <f>'PSP Data'!G262</f>
        <v>0</v>
      </c>
      <c r="H259">
        <f>'PSP Data'!H262</f>
        <v>0</v>
      </c>
      <c r="I259">
        <f>'PSP Data'!I262</f>
        <v>0</v>
      </c>
      <c r="J259" s="29" t="e">
        <f t="shared" si="15"/>
        <v>#N/A</v>
      </c>
      <c r="K259" s="29" t="e">
        <f>IF(AND((A259&lt;'PSP Data'!$C$11),(A259&lt;&gt;0)),Analysis!C259,#N/A)</f>
        <v>#N/A</v>
      </c>
      <c r="L259" t="e">
        <f>IF(VLOOKUP(B259,Table1[],4)=0,"unknown", VLOOKUP(B259,Table1[],4))</f>
        <v>#N/A</v>
      </c>
      <c r="M259">
        <v>1</v>
      </c>
      <c r="N259" t="e">
        <f t="shared" si="16"/>
        <v>#N/A</v>
      </c>
      <c r="O259" t="str">
        <f t="shared" si="17"/>
        <v/>
      </c>
      <c r="P259" t="str">
        <f t="shared" si="18"/>
        <v/>
      </c>
      <c r="Q259" t="str">
        <f t="shared" si="19"/>
        <v/>
      </c>
      <c r="R259">
        <v>1</v>
      </c>
    </row>
    <row r="260" spans="1:18">
      <c r="A260">
        <f>'PSP Data'!A263</f>
        <v>0</v>
      </c>
      <c r="B260" t="str">
        <f>IF('PSP Data'!B263=0,"",'PSP Data'!B263)</f>
        <v/>
      </c>
      <c r="C260">
        <f>'PSP Data'!C263</f>
        <v>0</v>
      </c>
      <c r="D260">
        <f>'PSP Data'!D263</f>
        <v>0</v>
      </c>
      <c r="E260">
        <f>'PSP Data'!E263</f>
        <v>0</v>
      </c>
      <c r="F260">
        <f>'PSP Data'!F263</f>
        <v>0</v>
      </c>
      <c r="G260">
        <f>'PSP Data'!G263</f>
        <v>0</v>
      </c>
      <c r="H260">
        <f>'PSP Data'!H263</f>
        <v>0</v>
      </c>
      <c r="I260">
        <f>'PSP Data'!I263</f>
        <v>0</v>
      </c>
      <c r="J260" s="29" t="e">
        <f t="shared" si="15"/>
        <v>#N/A</v>
      </c>
      <c r="K260" s="29" t="e">
        <f>IF(AND((A260&lt;'PSP Data'!$C$11),(A260&lt;&gt;0)),Analysis!C260,#N/A)</f>
        <v>#N/A</v>
      </c>
      <c r="L260" t="e">
        <f>IF(VLOOKUP(B260,Table1[],4)=0,"unknown", VLOOKUP(B260,Table1[],4))</f>
        <v>#N/A</v>
      </c>
      <c r="M260">
        <v>1</v>
      </c>
      <c r="N260" t="e">
        <f t="shared" si="16"/>
        <v>#N/A</v>
      </c>
      <c r="O260" t="str">
        <f t="shared" si="17"/>
        <v/>
      </c>
      <c r="P260" t="str">
        <f t="shared" si="18"/>
        <v/>
      </c>
      <c r="Q260" t="str">
        <f t="shared" si="19"/>
        <v/>
      </c>
      <c r="R260">
        <v>1</v>
      </c>
    </row>
    <row r="261" spans="1:18">
      <c r="A261">
        <f>'PSP Data'!A264</f>
        <v>0</v>
      </c>
      <c r="B261" t="str">
        <f>IF('PSP Data'!B264=0,"",'PSP Data'!B264)</f>
        <v/>
      </c>
      <c r="C261">
        <f>'PSP Data'!C264</f>
        <v>0</v>
      </c>
      <c r="D261">
        <f>'PSP Data'!D264</f>
        <v>0</v>
      </c>
      <c r="E261">
        <f>'PSP Data'!E264</f>
        <v>0</v>
      </c>
      <c r="F261">
        <f>'PSP Data'!F264</f>
        <v>0</v>
      </c>
      <c r="G261">
        <f>'PSP Data'!G264</f>
        <v>0</v>
      </c>
      <c r="H261">
        <f>'PSP Data'!H264</f>
        <v>0</v>
      </c>
      <c r="I261">
        <f>'PSP Data'!I264</f>
        <v>0</v>
      </c>
      <c r="J261" s="29" t="e">
        <f t="shared" si="15"/>
        <v>#N/A</v>
      </c>
      <c r="K261" s="29" t="e">
        <f>IF(AND((A261&lt;'PSP Data'!$C$11),(A261&lt;&gt;0)),Analysis!C261,#N/A)</f>
        <v>#N/A</v>
      </c>
      <c r="L261" t="e">
        <f>IF(VLOOKUP(B261,Table1[],4)=0,"unknown", VLOOKUP(B261,Table1[],4))</f>
        <v>#N/A</v>
      </c>
      <c r="M261">
        <v>1</v>
      </c>
      <c r="N261" t="e">
        <f t="shared" si="16"/>
        <v>#N/A</v>
      </c>
      <c r="O261" t="str">
        <f t="shared" si="17"/>
        <v/>
      </c>
      <c r="P261" t="str">
        <f t="shared" si="18"/>
        <v/>
      </c>
      <c r="Q261" t="str">
        <f t="shared" si="19"/>
        <v/>
      </c>
      <c r="R261">
        <v>1</v>
      </c>
    </row>
    <row r="262" spans="1:18">
      <c r="A262">
        <f>'PSP Data'!A265</f>
        <v>0</v>
      </c>
      <c r="B262" t="str">
        <f>IF('PSP Data'!B265=0,"",'PSP Data'!B265)</f>
        <v/>
      </c>
      <c r="C262">
        <f>'PSP Data'!C265</f>
        <v>0</v>
      </c>
      <c r="D262">
        <f>'PSP Data'!D265</f>
        <v>0</v>
      </c>
      <c r="E262">
        <f>'PSP Data'!E265</f>
        <v>0</v>
      </c>
      <c r="F262">
        <f>'PSP Data'!F265</f>
        <v>0</v>
      </c>
      <c r="G262">
        <f>'PSP Data'!G265</f>
        <v>0</v>
      </c>
      <c r="H262">
        <f>'PSP Data'!H265</f>
        <v>0</v>
      </c>
      <c r="I262">
        <f>'PSP Data'!I265</f>
        <v>0</v>
      </c>
      <c r="J262" s="29" t="e">
        <f t="shared" si="15"/>
        <v>#N/A</v>
      </c>
      <c r="K262" s="29" t="e">
        <f>IF(AND((A262&lt;'PSP Data'!$C$11),(A262&lt;&gt;0)),Analysis!C262,#N/A)</f>
        <v>#N/A</v>
      </c>
      <c r="L262" t="e">
        <f>IF(VLOOKUP(B262,Table1[],4)=0,"unknown", VLOOKUP(B262,Table1[],4))</f>
        <v>#N/A</v>
      </c>
      <c r="M262">
        <v>1</v>
      </c>
      <c r="N262" t="e">
        <f t="shared" si="16"/>
        <v>#N/A</v>
      </c>
      <c r="O262" t="str">
        <f t="shared" si="17"/>
        <v/>
      </c>
      <c r="P262" t="str">
        <f t="shared" si="18"/>
        <v/>
      </c>
      <c r="Q262" t="str">
        <f t="shared" si="19"/>
        <v/>
      </c>
      <c r="R262">
        <v>1</v>
      </c>
    </row>
    <row r="263" spans="1:18">
      <c r="A263">
        <f>'PSP Data'!A266</f>
        <v>0</v>
      </c>
      <c r="B263" t="str">
        <f>IF('PSP Data'!B266=0,"",'PSP Data'!B266)</f>
        <v/>
      </c>
      <c r="C263">
        <f>'PSP Data'!C266</f>
        <v>0</v>
      </c>
      <c r="D263">
        <f>'PSP Data'!D266</f>
        <v>0</v>
      </c>
      <c r="E263">
        <f>'PSP Data'!E266</f>
        <v>0</v>
      </c>
      <c r="F263">
        <f>'PSP Data'!F266</f>
        <v>0</v>
      </c>
      <c r="G263">
        <f>'PSP Data'!G266</f>
        <v>0</v>
      </c>
      <c r="H263">
        <f>'PSP Data'!H266</f>
        <v>0</v>
      </c>
      <c r="I263">
        <f>'PSP Data'!I266</f>
        <v>0</v>
      </c>
      <c r="J263" s="29" t="e">
        <f t="shared" si="15"/>
        <v>#N/A</v>
      </c>
      <c r="K263" s="29" t="e">
        <f>IF(AND((A263&lt;'PSP Data'!$C$11),(A263&lt;&gt;0)),Analysis!C263,#N/A)</f>
        <v>#N/A</v>
      </c>
      <c r="L263" t="e">
        <f>IF(VLOOKUP(B263,Table1[],4)=0,"unknown", VLOOKUP(B263,Table1[],4))</f>
        <v>#N/A</v>
      </c>
      <c r="M263">
        <v>1</v>
      </c>
      <c r="N263" t="e">
        <f t="shared" si="16"/>
        <v>#N/A</v>
      </c>
      <c r="O263" t="str">
        <f t="shared" si="17"/>
        <v/>
      </c>
      <c r="P263" t="str">
        <f t="shared" si="18"/>
        <v/>
      </c>
      <c r="Q263" t="str">
        <f t="shared" si="19"/>
        <v/>
      </c>
      <c r="R263">
        <v>1</v>
      </c>
    </row>
    <row r="264" spans="1:18">
      <c r="A264">
        <f>'PSP Data'!A267</f>
        <v>0</v>
      </c>
      <c r="B264" t="str">
        <f>IF('PSP Data'!B267=0,"",'PSP Data'!B267)</f>
        <v/>
      </c>
      <c r="C264">
        <f>'PSP Data'!C267</f>
        <v>0</v>
      </c>
      <c r="D264">
        <f>'PSP Data'!D267</f>
        <v>0</v>
      </c>
      <c r="E264">
        <f>'PSP Data'!E267</f>
        <v>0</v>
      </c>
      <c r="F264">
        <f>'PSP Data'!F267</f>
        <v>0</v>
      </c>
      <c r="G264">
        <f>'PSP Data'!G267</f>
        <v>0</v>
      </c>
      <c r="H264">
        <f>'PSP Data'!H267</f>
        <v>0</v>
      </c>
      <c r="I264">
        <f>'PSP Data'!I267</f>
        <v>0</v>
      </c>
      <c r="J264" s="29" t="e">
        <f t="shared" si="15"/>
        <v>#N/A</v>
      </c>
      <c r="K264" s="29" t="e">
        <f>IF(AND((A264&lt;'PSP Data'!$C$11),(A264&lt;&gt;0)),Analysis!C264,#N/A)</f>
        <v>#N/A</v>
      </c>
      <c r="L264" t="e">
        <f>IF(VLOOKUP(B264,Table1[],4)=0,"unknown", VLOOKUP(B264,Table1[],4))</f>
        <v>#N/A</v>
      </c>
      <c r="M264">
        <v>1</v>
      </c>
      <c r="N264" t="e">
        <f t="shared" si="16"/>
        <v>#N/A</v>
      </c>
      <c r="O264" t="str">
        <f t="shared" si="17"/>
        <v/>
      </c>
      <c r="P264" t="str">
        <f t="shared" si="18"/>
        <v/>
      </c>
      <c r="Q264" t="str">
        <f t="shared" si="19"/>
        <v/>
      </c>
      <c r="R264">
        <v>1</v>
      </c>
    </row>
    <row r="265" spans="1:18">
      <c r="A265">
        <f>'PSP Data'!A268</f>
        <v>0</v>
      </c>
      <c r="B265" t="str">
        <f>IF('PSP Data'!B268=0,"",'PSP Data'!B268)</f>
        <v/>
      </c>
      <c r="C265">
        <f>'PSP Data'!C268</f>
        <v>0</v>
      </c>
      <c r="D265">
        <f>'PSP Data'!D268</f>
        <v>0</v>
      </c>
      <c r="E265">
        <f>'PSP Data'!E268</f>
        <v>0</v>
      </c>
      <c r="F265">
        <f>'PSP Data'!F268</f>
        <v>0</v>
      </c>
      <c r="G265">
        <f>'PSP Data'!G268</f>
        <v>0</v>
      </c>
      <c r="H265">
        <f>'PSP Data'!H268</f>
        <v>0</v>
      </c>
      <c r="I265">
        <f>'PSP Data'!I268</f>
        <v>0</v>
      </c>
      <c r="J265" s="29" t="e">
        <f t="shared" si="15"/>
        <v>#N/A</v>
      </c>
      <c r="K265" s="29" t="e">
        <f>IF(AND((A265&lt;'PSP Data'!$C$11),(A265&lt;&gt;0)),Analysis!C265,#N/A)</f>
        <v>#N/A</v>
      </c>
      <c r="L265" t="e">
        <f>IF(VLOOKUP(B265,Table1[],4)=0,"unknown", VLOOKUP(B265,Table1[],4))</f>
        <v>#N/A</v>
      </c>
      <c r="M265">
        <v>1</v>
      </c>
      <c r="N265" t="e">
        <f t="shared" si="16"/>
        <v>#N/A</v>
      </c>
      <c r="O265" t="str">
        <f t="shared" si="17"/>
        <v/>
      </c>
      <c r="P265" t="str">
        <f t="shared" si="18"/>
        <v/>
      </c>
      <c r="Q265" t="str">
        <f t="shared" si="19"/>
        <v/>
      </c>
      <c r="R265">
        <v>1</v>
      </c>
    </row>
    <row r="266" spans="1:18">
      <c r="A266">
        <f>'PSP Data'!A269</f>
        <v>0</v>
      </c>
      <c r="B266" t="str">
        <f>IF('PSP Data'!B269=0,"",'PSP Data'!B269)</f>
        <v/>
      </c>
      <c r="C266">
        <f>'PSP Data'!C269</f>
        <v>0</v>
      </c>
      <c r="D266">
        <f>'PSP Data'!D269</f>
        <v>0</v>
      </c>
      <c r="E266">
        <f>'PSP Data'!E269</f>
        <v>0</v>
      </c>
      <c r="F266">
        <f>'PSP Data'!F269</f>
        <v>0</v>
      </c>
      <c r="G266">
        <f>'PSP Data'!G269</f>
        <v>0</v>
      </c>
      <c r="H266">
        <f>'PSP Data'!H269</f>
        <v>0</v>
      </c>
      <c r="I266">
        <f>'PSP Data'!I269</f>
        <v>0</v>
      </c>
      <c r="J266" s="29" t="e">
        <f t="shared" si="15"/>
        <v>#N/A</v>
      </c>
      <c r="K266" s="29" t="e">
        <f>IF(AND((A266&lt;'PSP Data'!$C$11),(A266&lt;&gt;0)),Analysis!C266,#N/A)</f>
        <v>#N/A</v>
      </c>
      <c r="L266" t="e">
        <f>IF(VLOOKUP(B266,Table1[],4)=0,"unknown", VLOOKUP(B266,Table1[],4))</f>
        <v>#N/A</v>
      </c>
      <c r="M266">
        <v>1</v>
      </c>
      <c r="N266" t="e">
        <f t="shared" si="16"/>
        <v>#N/A</v>
      </c>
      <c r="O266" t="str">
        <f t="shared" si="17"/>
        <v/>
      </c>
      <c r="P266" t="str">
        <f t="shared" si="18"/>
        <v/>
      </c>
      <c r="Q266" t="str">
        <f t="shared" si="19"/>
        <v/>
      </c>
      <c r="R266">
        <v>1</v>
      </c>
    </row>
    <row r="267" spans="1:18">
      <c r="A267">
        <f>'PSP Data'!A270</f>
        <v>0</v>
      </c>
      <c r="B267" t="str">
        <f>IF('PSP Data'!B270=0,"",'PSP Data'!B270)</f>
        <v/>
      </c>
      <c r="C267">
        <f>'PSP Data'!C270</f>
        <v>0</v>
      </c>
      <c r="D267">
        <f>'PSP Data'!D270</f>
        <v>0</v>
      </c>
      <c r="E267">
        <f>'PSP Data'!E270</f>
        <v>0</v>
      </c>
      <c r="F267">
        <f>'PSP Data'!F270</f>
        <v>0</v>
      </c>
      <c r="G267">
        <f>'PSP Data'!G270</f>
        <v>0</v>
      </c>
      <c r="H267">
        <f>'PSP Data'!H270</f>
        <v>0</v>
      </c>
      <c r="I267">
        <f>'PSP Data'!I270</f>
        <v>0</v>
      </c>
      <c r="J267" s="29" t="e">
        <f t="shared" si="15"/>
        <v>#N/A</v>
      </c>
      <c r="K267" s="29" t="e">
        <f>IF(AND((A267&lt;'PSP Data'!$C$11),(A267&lt;&gt;0)),Analysis!C267,#N/A)</f>
        <v>#N/A</v>
      </c>
      <c r="L267" t="e">
        <f>IF(VLOOKUP(B267,Table1[],4)=0,"unknown", VLOOKUP(B267,Table1[],4))</f>
        <v>#N/A</v>
      </c>
      <c r="M267">
        <v>1</v>
      </c>
      <c r="N267" t="e">
        <f t="shared" si="16"/>
        <v>#N/A</v>
      </c>
      <c r="O267" t="str">
        <f t="shared" si="17"/>
        <v/>
      </c>
      <c r="P267" t="str">
        <f t="shared" si="18"/>
        <v/>
      </c>
      <c r="Q267" t="str">
        <f t="shared" si="19"/>
        <v/>
      </c>
      <c r="R267">
        <v>1</v>
      </c>
    </row>
    <row r="268" spans="1:18">
      <c r="A268">
        <f>'PSP Data'!A271</f>
        <v>0</v>
      </c>
      <c r="B268" t="str">
        <f>IF('PSP Data'!B271=0,"",'PSP Data'!B271)</f>
        <v/>
      </c>
      <c r="C268">
        <f>'PSP Data'!C271</f>
        <v>0</v>
      </c>
      <c r="D268">
        <f>'PSP Data'!D271</f>
        <v>0</v>
      </c>
      <c r="E268">
        <f>'PSP Data'!E271</f>
        <v>0</v>
      </c>
      <c r="F268">
        <f>'PSP Data'!F271</f>
        <v>0</v>
      </c>
      <c r="G268">
        <f>'PSP Data'!G271</f>
        <v>0</v>
      </c>
      <c r="H268">
        <f>'PSP Data'!H271</f>
        <v>0</v>
      </c>
      <c r="I268">
        <f>'PSP Data'!I271</f>
        <v>0</v>
      </c>
      <c r="J268" s="29" t="e">
        <f t="shared" si="15"/>
        <v>#N/A</v>
      </c>
      <c r="K268" s="29" t="e">
        <f>IF(AND((A268&lt;'PSP Data'!$C$11),(A268&lt;&gt;0)),Analysis!C268,#N/A)</f>
        <v>#N/A</v>
      </c>
      <c r="L268" t="e">
        <f>IF(VLOOKUP(B268,Table1[],4)=0,"unknown", VLOOKUP(B268,Table1[],4))</f>
        <v>#N/A</v>
      </c>
      <c r="M268">
        <v>1</v>
      </c>
      <c r="N268" t="e">
        <f t="shared" si="16"/>
        <v>#N/A</v>
      </c>
      <c r="O268" t="str">
        <f t="shared" si="17"/>
        <v/>
      </c>
      <c r="P268" t="str">
        <f t="shared" si="18"/>
        <v/>
      </c>
      <c r="Q268" t="str">
        <f t="shared" si="19"/>
        <v/>
      </c>
      <c r="R268">
        <v>1</v>
      </c>
    </row>
    <row r="269" spans="1:18">
      <c r="A269">
        <f>'PSP Data'!A272</f>
        <v>0</v>
      </c>
      <c r="B269" t="str">
        <f>IF('PSP Data'!B272=0,"",'PSP Data'!B272)</f>
        <v/>
      </c>
      <c r="C269">
        <f>'PSP Data'!C272</f>
        <v>0</v>
      </c>
      <c r="D269">
        <f>'PSP Data'!D272</f>
        <v>0</v>
      </c>
      <c r="E269">
        <f>'PSP Data'!E272</f>
        <v>0</v>
      </c>
      <c r="F269">
        <f>'PSP Data'!F272</f>
        <v>0</v>
      </c>
      <c r="G269">
        <f>'PSP Data'!G272</f>
        <v>0</v>
      </c>
      <c r="H269">
        <f>'PSP Data'!H272</f>
        <v>0</v>
      </c>
      <c r="I269">
        <f>'PSP Data'!I272</f>
        <v>0</v>
      </c>
      <c r="J269" s="29" t="e">
        <f t="shared" si="15"/>
        <v>#N/A</v>
      </c>
      <c r="K269" s="29" t="e">
        <f>IF(AND((A269&lt;'PSP Data'!$C$11),(A269&lt;&gt;0)),Analysis!C269,#N/A)</f>
        <v>#N/A</v>
      </c>
      <c r="L269" t="e">
        <f>IF(VLOOKUP(B269,Table1[],4)=0,"unknown", VLOOKUP(B269,Table1[],4))</f>
        <v>#N/A</v>
      </c>
      <c r="M269">
        <v>1</v>
      </c>
      <c r="N269" t="e">
        <f t="shared" si="16"/>
        <v>#N/A</v>
      </c>
      <c r="O269" t="str">
        <f t="shared" si="17"/>
        <v/>
      </c>
      <c r="P269" t="str">
        <f t="shared" si="18"/>
        <v/>
      </c>
      <c r="Q269" t="str">
        <f t="shared" si="19"/>
        <v/>
      </c>
      <c r="R269">
        <v>1</v>
      </c>
    </row>
    <row r="270" spans="1:18">
      <c r="A270">
        <f>'PSP Data'!A273</f>
        <v>0</v>
      </c>
      <c r="B270" t="str">
        <f>IF('PSP Data'!B273=0,"",'PSP Data'!B273)</f>
        <v/>
      </c>
      <c r="C270">
        <f>'PSP Data'!C273</f>
        <v>0</v>
      </c>
      <c r="D270">
        <f>'PSP Data'!D273</f>
        <v>0</v>
      </c>
      <c r="E270">
        <f>'PSP Data'!E273</f>
        <v>0</v>
      </c>
      <c r="F270">
        <f>'PSP Data'!F273</f>
        <v>0</v>
      </c>
      <c r="G270">
        <f>'PSP Data'!G273</f>
        <v>0</v>
      </c>
      <c r="H270">
        <f>'PSP Data'!H273</f>
        <v>0</v>
      </c>
      <c r="I270">
        <f>'PSP Data'!I273</f>
        <v>0</v>
      </c>
      <c r="J270" s="29" t="e">
        <f t="shared" si="15"/>
        <v>#N/A</v>
      </c>
      <c r="K270" s="29" t="e">
        <f>IF(AND((A270&lt;'PSP Data'!$C$11),(A270&lt;&gt;0)),Analysis!C270,#N/A)</f>
        <v>#N/A</v>
      </c>
      <c r="L270" t="e">
        <f>IF(VLOOKUP(B270,Table1[],4)=0,"unknown", VLOOKUP(B270,Table1[],4))</f>
        <v>#N/A</v>
      </c>
      <c r="M270">
        <v>1</v>
      </c>
      <c r="N270" t="e">
        <f t="shared" si="16"/>
        <v>#N/A</v>
      </c>
      <c r="O270" t="str">
        <f t="shared" si="17"/>
        <v/>
      </c>
      <c r="P270" t="str">
        <f t="shared" si="18"/>
        <v/>
      </c>
      <c r="Q270" t="str">
        <f t="shared" si="19"/>
        <v/>
      </c>
      <c r="R270">
        <v>1</v>
      </c>
    </row>
    <row r="271" spans="1:18">
      <c r="A271">
        <f>'PSP Data'!A274</f>
        <v>0</v>
      </c>
      <c r="B271" t="str">
        <f>IF('PSP Data'!B274=0,"",'PSP Data'!B274)</f>
        <v/>
      </c>
      <c r="C271">
        <f>'PSP Data'!C274</f>
        <v>0</v>
      </c>
      <c r="D271">
        <f>'PSP Data'!D274</f>
        <v>0</v>
      </c>
      <c r="E271">
        <f>'PSP Data'!E274</f>
        <v>0</v>
      </c>
      <c r="F271">
        <f>'PSP Data'!F274</f>
        <v>0</v>
      </c>
      <c r="G271">
        <f>'PSP Data'!G274</f>
        <v>0</v>
      </c>
      <c r="H271">
        <f>'PSP Data'!H274</f>
        <v>0</v>
      </c>
      <c r="I271">
        <f>'PSP Data'!I274</f>
        <v>0</v>
      </c>
      <c r="J271" s="29" t="e">
        <f t="shared" si="15"/>
        <v>#N/A</v>
      </c>
      <c r="K271" s="29" t="e">
        <f>IF(AND((A271&lt;'PSP Data'!$C$11),(A271&lt;&gt;0)),Analysis!C271,#N/A)</f>
        <v>#N/A</v>
      </c>
      <c r="L271" t="e">
        <f>IF(VLOOKUP(B271,Table1[],4)=0,"unknown", VLOOKUP(B271,Table1[],4))</f>
        <v>#N/A</v>
      </c>
      <c r="M271">
        <v>1</v>
      </c>
      <c r="N271" t="e">
        <f t="shared" si="16"/>
        <v>#N/A</v>
      </c>
      <c r="O271" t="str">
        <f t="shared" si="17"/>
        <v/>
      </c>
      <c r="P271" t="str">
        <f t="shared" si="18"/>
        <v/>
      </c>
      <c r="Q271" t="str">
        <f t="shared" si="19"/>
        <v/>
      </c>
      <c r="R271">
        <v>1</v>
      </c>
    </row>
    <row r="272" spans="1:18">
      <c r="A272">
        <f>'PSP Data'!A275</f>
        <v>0</v>
      </c>
      <c r="B272" t="str">
        <f>IF('PSP Data'!B275=0,"",'PSP Data'!B275)</f>
        <v/>
      </c>
      <c r="C272">
        <f>'PSP Data'!C275</f>
        <v>0</v>
      </c>
      <c r="D272">
        <f>'PSP Data'!D275</f>
        <v>0</v>
      </c>
      <c r="E272">
        <f>'PSP Data'!E275</f>
        <v>0</v>
      </c>
      <c r="F272">
        <f>'PSP Data'!F275</f>
        <v>0</v>
      </c>
      <c r="G272">
        <f>'PSP Data'!G275</f>
        <v>0</v>
      </c>
      <c r="H272">
        <f>'PSP Data'!H275</f>
        <v>0</v>
      </c>
      <c r="I272">
        <f>'PSP Data'!I275</f>
        <v>0</v>
      </c>
      <c r="J272" s="29" t="e">
        <f t="shared" si="15"/>
        <v>#N/A</v>
      </c>
      <c r="K272" s="29" t="e">
        <f>IF(AND((A272&lt;'PSP Data'!$C$11),(A272&lt;&gt;0)),Analysis!C272,#N/A)</f>
        <v>#N/A</v>
      </c>
      <c r="L272" t="e">
        <f>IF(VLOOKUP(B272,Table1[],4)=0,"unknown", VLOOKUP(B272,Table1[],4))</f>
        <v>#N/A</v>
      </c>
      <c r="M272">
        <v>1</v>
      </c>
      <c r="N272" t="e">
        <f t="shared" si="16"/>
        <v>#N/A</v>
      </c>
      <c r="O272" t="str">
        <f t="shared" si="17"/>
        <v/>
      </c>
      <c r="P272" t="str">
        <f t="shared" si="18"/>
        <v/>
      </c>
      <c r="Q272" t="str">
        <f t="shared" si="19"/>
        <v/>
      </c>
      <c r="R272">
        <v>1</v>
      </c>
    </row>
    <row r="273" spans="1:18">
      <c r="A273">
        <f>'PSP Data'!A276</f>
        <v>0</v>
      </c>
      <c r="B273" t="str">
        <f>IF('PSP Data'!B276=0,"",'PSP Data'!B276)</f>
        <v/>
      </c>
      <c r="C273">
        <f>'PSP Data'!C276</f>
        <v>0</v>
      </c>
      <c r="D273">
        <f>'PSP Data'!D276</f>
        <v>0</v>
      </c>
      <c r="E273">
        <f>'PSP Data'!E276</f>
        <v>0</v>
      </c>
      <c r="F273">
        <f>'PSP Data'!F276</f>
        <v>0</v>
      </c>
      <c r="G273">
        <f>'PSP Data'!G276</f>
        <v>0</v>
      </c>
      <c r="H273">
        <f>'PSP Data'!H276</f>
        <v>0</v>
      </c>
      <c r="I273">
        <f>'PSP Data'!I276</f>
        <v>0</v>
      </c>
      <c r="J273" s="29" t="e">
        <f t="shared" si="15"/>
        <v>#N/A</v>
      </c>
      <c r="K273" s="29" t="e">
        <f>IF(AND((A273&lt;'PSP Data'!$C$11),(A273&lt;&gt;0)),Analysis!C273,#N/A)</f>
        <v>#N/A</v>
      </c>
      <c r="L273" t="e">
        <f>IF(VLOOKUP(B273,Table1[],4)=0,"unknown", VLOOKUP(B273,Table1[],4))</f>
        <v>#N/A</v>
      </c>
      <c r="M273">
        <v>1</v>
      </c>
      <c r="N273" t="e">
        <f t="shared" si="16"/>
        <v>#N/A</v>
      </c>
      <c r="O273" t="str">
        <f t="shared" si="17"/>
        <v/>
      </c>
      <c r="P273" t="str">
        <f t="shared" si="18"/>
        <v/>
      </c>
      <c r="Q273" t="str">
        <f t="shared" si="19"/>
        <v/>
      </c>
      <c r="R273">
        <v>1</v>
      </c>
    </row>
    <row r="274" spans="1:18">
      <c r="A274">
        <f>'PSP Data'!A277</f>
        <v>0</v>
      </c>
      <c r="B274" t="str">
        <f>IF('PSP Data'!B277=0,"",'PSP Data'!B277)</f>
        <v/>
      </c>
      <c r="C274">
        <f>'PSP Data'!C277</f>
        <v>0</v>
      </c>
      <c r="D274">
        <f>'PSP Data'!D277</f>
        <v>0</v>
      </c>
      <c r="E274">
        <f>'PSP Data'!E277</f>
        <v>0</v>
      </c>
      <c r="F274">
        <f>'PSP Data'!F277</f>
        <v>0</v>
      </c>
      <c r="G274">
        <f>'PSP Data'!G277</f>
        <v>0</v>
      </c>
      <c r="H274">
        <f>'PSP Data'!H277</f>
        <v>0</v>
      </c>
      <c r="I274">
        <f>'PSP Data'!I277</f>
        <v>0</v>
      </c>
      <c r="J274" s="29" t="e">
        <f t="shared" si="15"/>
        <v>#N/A</v>
      </c>
      <c r="K274" s="29" t="e">
        <f>IF(AND((A274&lt;'PSP Data'!$C$11),(A274&lt;&gt;0)),Analysis!C274,#N/A)</f>
        <v>#N/A</v>
      </c>
      <c r="L274" t="e">
        <f>IF(VLOOKUP(B274,Table1[],4)=0,"unknown", VLOOKUP(B274,Table1[],4))</f>
        <v>#N/A</v>
      </c>
      <c r="M274">
        <v>1</v>
      </c>
      <c r="N274" t="e">
        <f t="shared" si="16"/>
        <v>#N/A</v>
      </c>
      <c r="O274" t="str">
        <f t="shared" si="17"/>
        <v/>
      </c>
      <c r="P274" t="str">
        <f t="shared" si="18"/>
        <v/>
      </c>
      <c r="Q274" t="str">
        <f t="shared" si="19"/>
        <v/>
      </c>
      <c r="R274">
        <v>1</v>
      </c>
    </row>
    <row r="275" spans="1:18">
      <c r="A275">
        <f>'PSP Data'!A278</f>
        <v>0</v>
      </c>
      <c r="B275" t="str">
        <f>IF('PSP Data'!B278=0,"",'PSP Data'!B278)</f>
        <v/>
      </c>
      <c r="C275">
        <f>'PSP Data'!C278</f>
        <v>0</v>
      </c>
      <c r="D275">
        <f>'PSP Data'!D278</f>
        <v>0</v>
      </c>
      <c r="E275">
        <f>'PSP Data'!E278</f>
        <v>0</v>
      </c>
      <c r="F275">
        <f>'PSP Data'!F278</f>
        <v>0</v>
      </c>
      <c r="G275">
        <f>'PSP Data'!G278</f>
        <v>0</v>
      </c>
      <c r="H275">
        <f>'PSP Data'!H278</f>
        <v>0</v>
      </c>
      <c r="I275">
        <f>'PSP Data'!I278</f>
        <v>0</v>
      </c>
      <c r="J275" s="29" t="e">
        <f t="shared" si="15"/>
        <v>#N/A</v>
      </c>
      <c r="K275" s="29" t="e">
        <f>IF(AND((A275&lt;'PSP Data'!$C$11),(A275&lt;&gt;0)),Analysis!C275,#N/A)</f>
        <v>#N/A</v>
      </c>
      <c r="L275" t="e">
        <f>IF(VLOOKUP(B275,Table1[],4)=0,"unknown", VLOOKUP(B275,Table1[],4))</f>
        <v>#N/A</v>
      </c>
      <c r="M275">
        <v>1</v>
      </c>
      <c r="N275" t="e">
        <f t="shared" si="16"/>
        <v>#N/A</v>
      </c>
      <c r="O275" t="str">
        <f t="shared" si="17"/>
        <v/>
      </c>
      <c r="P275" t="str">
        <f t="shared" si="18"/>
        <v/>
      </c>
      <c r="Q275" t="str">
        <f t="shared" si="19"/>
        <v/>
      </c>
      <c r="R275">
        <v>1</v>
      </c>
    </row>
    <row r="276" spans="1:18">
      <c r="A276">
        <f>'PSP Data'!A279</f>
        <v>0</v>
      </c>
      <c r="B276" t="str">
        <f>IF('PSP Data'!B279=0,"",'PSP Data'!B279)</f>
        <v/>
      </c>
      <c r="C276">
        <f>'PSP Data'!C279</f>
        <v>0</v>
      </c>
      <c r="D276">
        <f>'PSP Data'!D279</f>
        <v>0</v>
      </c>
      <c r="E276">
        <f>'PSP Data'!E279</f>
        <v>0</v>
      </c>
      <c r="F276">
        <f>'PSP Data'!F279</f>
        <v>0</v>
      </c>
      <c r="G276">
        <f>'PSP Data'!G279</f>
        <v>0</v>
      </c>
      <c r="H276">
        <f>'PSP Data'!H279</f>
        <v>0</v>
      </c>
      <c r="I276">
        <f>'PSP Data'!I279</f>
        <v>0</v>
      </c>
      <c r="J276" s="29" t="e">
        <f t="shared" si="15"/>
        <v>#N/A</v>
      </c>
      <c r="K276" s="29" t="e">
        <f>IF(AND((A276&lt;'PSP Data'!$C$11),(A276&lt;&gt;0)),Analysis!C276,#N/A)</f>
        <v>#N/A</v>
      </c>
      <c r="L276" t="e">
        <f>IF(VLOOKUP(B276,Table1[],4)=0,"unknown", VLOOKUP(B276,Table1[],4))</f>
        <v>#N/A</v>
      </c>
      <c r="M276">
        <v>1</v>
      </c>
      <c r="N276" t="e">
        <f t="shared" si="16"/>
        <v>#N/A</v>
      </c>
      <c r="O276" t="str">
        <f t="shared" si="17"/>
        <v/>
      </c>
      <c r="P276" t="str">
        <f t="shared" si="18"/>
        <v/>
      </c>
      <c r="Q276" t="str">
        <f t="shared" si="19"/>
        <v/>
      </c>
      <c r="R276">
        <v>1</v>
      </c>
    </row>
    <row r="277" spans="1:18">
      <c r="A277">
        <f>'PSP Data'!A280</f>
        <v>0</v>
      </c>
      <c r="B277" t="str">
        <f>IF('PSP Data'!B280=0,"",'PSP Data'!B280)</f>
        <v/>
      </c>
      <c r="C277">
        <f>'PSP Data'!C280</f>
        <v>0</v>
      </c>
      <c r="D277">
        <f>'PSP Data'!D280</f>
        <v>0</v>
      </c>
      <c r="E277">
        <f>'PSP Data'!E280</f>
        <v>0</v>
      </c>
      <c r="F277">
        <f>'PSP Data'!F280</f>
        <v>0</v>
      </c>
      <c r="G277">
        <f>'PSP Data'!G280</f>
        <v>0</v>
      </c>
      <c r="H277">
        <f>'PSP Data'!H280</f>
        <v>0</v>
      </c>
      <c r="I277">
        <f>'PSP Data'!I280</f>
        <v>0</v>
      </c>
      <c r="J277" s="29" t="e">
        <f t="shared" si="15"/>
        <v>#N/A</v>
      </c>
      <c r="K277" s="29" t="e">
        <f>IF(AND((A277&lt;'PSP Data'!$C$11),(A277&lt;&gt;0)),Analysis!C277,#N/A)</f>
        <v>#N/A</v>
      </c>
      <c r="L277" t="e">
        <f>IF(VLOOKUP(B277,Table1[],4)=0,"unknown", VLOOKUP(B277,Table1[],4))</f>
        <v>#N/A</v>
      </c>
      <c r="M277">
        <v>1</v>
      </c>
      <c r="N277" t="e">
        <f t="shared" si="16"/>
        <v>#N/A</v>
      </c>
      <c r="O277" t="str">
        <f t="shared" si="17"/>
        <v/>
      </c>
      <c r="P277" t="str">
        <f t="shared" si="18"/>
        <v/>
      </c>
      <c r="Q277" t="str">
        <f t="shared" si="19"/>
        <v/>
      </c>
      <c r="R277">
        <v>1</v>
      </c>
    </row>
    <row r="278" spans="1:18">
      <c r="A278">
        <f>'PSP Data'!A281</f>
        <v>0</v>
      </c>
      <c r="B278" t="str">
        <f>IF('PSP Data'!B281=0,"",'PSP Data'!B281)</f>
        <v/>
      </c>
      <c r="C278">
        <f>'PSP Data'!C281</f>
        <v>0</v>
      </c>
      <c r="D278">
        <f>'PSP Data'!D281</f>
        <v>0</v>
      </c>
      <c r="E278">
        <f>'PSP Data'!E281</f>
        <v>0</v>
      </c>
      <c r="F278">
        <f>'PSP Data'!F281</f>
        <v>0</v>
      </c>
      <c r="G278">
        <f>'PSP Data'!G281</f>
        <v>0</v>
      </c>
      <c r="H278">
        <f>'PSP Data'!H281</f>
        <v>0</v>
      </c>
      <c r="I278">
        <f>'PSP Data'!I281</f>
        <v>0</v>
      </c>
      <c r="J278" s="29" t="e">
        <f t="shared" ref="J278:J341" si="20">IF(C278&gt;=25,C278,#N/A)</f>
        <v>#N/A</v>
      </c>
      <c r="K278" s="29" t="e">
        <f>IF(AND((A278&lt;'PSP Data'!$C$11),(A278&lt;&gt;0)),Analysis!C278,#N/A)</f>
        <v>#N/A</v>
      </c>
      <c r="L278" t="e">
        <f>IF(VLOOKUP(B278,Table1[],4)=0,"unknown", VLOOKUP(B278,Table1[],4))</f>
        <v>#N/A</v>
      </c>
      <c r="M278">
        <v>1</v>
      </c>
      <c r="N278" t="e">
        <f t="shared" ref="N278:N341" si="21">IF(L278="timber",B278,"")</f>
        <v>#N/A</v>
      </c>
      <c r="O278" t="str">
        <f t="shared" ref="O278:O341" si="22">IF(D278="y",B278,"")</f>
        <v/>
      </c>
      <c r="P278" t="str">
        <f t="shared" ref="P278:P341" si="23">IF(F278="y",B278,"")</f>
        <v/>
      </c>
      <c r="Q278" t="str">
        <f t="shared" ref="Q278:Q341" si="24">IF(B278="","",ISNUMBER(FIND("Dead wood",B278:B1157)))</f>
        <v/>
      </c>
      <c r="R278">
        <v>1</v>
      </c>
    </row>
    <row r="279" spans="1:18">
      <c r="A279">
        <f>'PSP Data'!A282</f>
        <v>0</v>
      </c>
      <c r="B279" t="str">
        <f>IF('PSP Data'!B282=0,"",'PSP Data'!B282)</f>
        <v/>
      </c>
      <c r="C279">
        <f>'PSP Data'!C282</f>
        <v>0</v>
      </c>
      <c r="D279">
        <f>'PSP Data'!D282</f>
        <v>0</v>
      </c>
      <c r="E279">
        <f>'PSP Data'!E282</f>
        <v>0</v>
      </c>
      <c r="F279">
        <f>'PSP Data'!F282</f>
        <v>0</v>
      </c>
      <c r="G279">
        <f>'PSP Data'!G282</f>
        <v>0</v>
      </c>
      <c r="H279">
        <f>'PSP Data'!H282</f>
        <v>0</v>
      </c>
      <c r="I279">
        <f>'PSP Data'!I282</f>
        <v>0</v>
      </c>
      <c r="J279" s="29" t="e">
        <f t="shared" si="20"/>
        <v>#N/A</v>
      </c>
      <c r="K279" s="29" t="e">
        <f>IF(AND((A279&lt;'PSP Data'!$C$11),(A279&lt;&gt;0)),Analysis!C279,#N/A)</f>
        <v>#N/A</v>
      </c>
      <c r="L279" t="e">
        <f>IF(VLOOKUP(B279,Table1[],4)=0,"unknown", VLOOKUP(B279,Table1[],4))</f>
        <v>#N/A</v>
      </c>
      <c r="M279">
        <v>1</v>
      </c>
      <c r="N279" t="e">
        <f t="shared" si="21"/>
        <v>#N/A</v>
      </c>
      <c r="O279" t="str">
        <f t="shared" si="22"/>
        <v/>
      </c>
      <c r="P279" t="str">
        <f t="shared" si="23"/>
        <v/>
      </c>
      <c r="Q279" t="str">
        <f t="shared" si="24"/>
        <v/>
      </c>
      <c r="R279">
        <v>1</v>
      </c>
    </row>
    <row r="280" spans="1:18">
      <c r="A280">
        <f>'PSP Data'!A283</f>
        <v>0</v>
      </c>
      <c r="B280" t="str">
        <f>IF('PSP Data'!B283=0,"",'PSP Data'!B283)</f>
        <v/>
      </c>
      <c r="C280">
        <f>'PSP Data'!C283</f>
        <v>0</v>
      </c>
      <c r="D280">
        <f>'PSP Data'!D283</f>
        <v>0</v>
      </c>
      <c r="E280">
        <f>'PSP Data'!E283</f>
        <v>0</v>
      </c>
      <c r="F280">
        <f>'PSP Data'!F283</f>
        <v>0</v>
      </c>
      <c r="G280">
        <f>'PSP Data'!G283</f>
        <v>0</v>
      </c>
      <c r="H280">
        <f>'PSP Data'!H283</f>
        <v>0</v>
      </c>
      <c r="I280">
        <f>'PSP Data'!I283</f>
        <v>0</v>
      </c>
      <c r="J280" s="29" t="e">
        <f t="shared" si="20"/>
        <v>#N/A</v>
      </c>
      <c r="K280" s="29" t="e">
        <f>IF(AND((A280&lt;'PSP Data'!$C$11),(A280&lt;&gt;0)),Analysis!C280,#N/A)</f>
        <v>#N/A</v>
      </c>
      <c r="L280" t="e">
        <f>IF(VLOOKUP(B280,Table1[],4)=0,"unknown", VLOOKUP(B280,Table1[],4))</f>
        <v>#N/A</v>
      </c>
      <c r="M280">
        <v>1</v>
      </c>
      <c r="N280" t="e">
        <f t="shared" si="21"/>
        <v>#N/A</v>
      </c>
      <c r="O280" t="str">
        <f t="shared" si="22"/>
        <v/>
      </c>
      <c r="P280" t="str">
        <f t="shared" si="23"/>
        <v/>
      </c>
      <c r="Q280" t="str">
        <f t="shared" si="24"/>
        <v/>
      </c>
      <c r="R280">
        <v>1</v>
      </c>
    </row>
    <row r="281" spans="1:18">
      <c r="A281">
        <f>'PSP Data'!A284</f>
        <v>0</v>
      </c>
      <c r="B281" t="str">
        <f>IF('PSP Data'!B284=0,"",'PSP Data'!B284)</f>
        <v/>
      </c>
      <c r="C281">
        <f>'PSP Data'!C284</f>
        <v>0</v>
      </c>
      <c r="D281">
        <f>'PSP Data'!D284</f>
        <v>0</v>
      </c>
      <c r="E281">
        <f>'PSP Data'!E284</f>
        <v>0</v>
      </c>
      <c r="F281">
        <f>'PSP Data'!F284</f>
        <v>0</v>
      </c>
      <c r="G281">
        <f>'PSP Data'!G284</f>
        <v>0</v>
      </c>
      <c r="H281">
        <f>'PSP Data'!H284</f>
        <v>0</v>
      </c>
      <c r="I281">
        <f>'PSP Data'!I284</f>
        <v>0</v>
      </c>
      <c r="J281" s="29" t="e">
        <f t="shared" si="20"/>
        <v>#N/A</v>
      </c>
      <c r="K281" s="29" t="e">
        <f>IF(AND((A281&lt;'PSP Data'!$C$11),(A281&lt;&gt;0)),Analysis!C281,#N/A)</f>
        <v>#N/A</v>
      </c>
      <c r="L281" t="e">
        <f>IF(VLOOKUP(B281,Table1[],4)=0,"unknown", VLOOKUP(B281,Table1[],4))</f>
        <v>#N/A</v>
      </c>
      <c r="M281">
        <v>1</v>
      </c>
      <c r="N281" t="e">
        <f t="shared" si="21"/>
        <v>#N/A</v>
      </c>
      <c r="O281" t="str">
        <f t="shared" si="22"/>
        <v/>
      </c>
      <c r="P281" t="str">
        <f t="shared" si="23"/>
        <v/>
      </c>
      <c r="Q281" t="str">
        <f t="shared" si="24"/>
        <v/>
      </c>
      <c r="R281">
        <v>1</v>
      </c>
    </row>
    <row r="282" spans="1:18">
      <c r="A282">
        <f>'PSP Data'!A285</f>
        <v>0</v>
      </c>
      <c r="B282" t="str">
        <f>IF('PSP Data'!B285=0,"",'PSP Data'!B285)</f>
        <v/>
      </c>
      <c r="C282">
        <f>'PSP Data'!C285</f>
        <v>0</v>
      </c>
      <c r="D282">
        <f>'PSP Data'!D285</f>
        <v>0</v>
      </c>
      <c r="E282">
        <f>'PSP Data'!E285</f>
        <v>0</v>
      </c>
      <c r="F282">
        <f>'PSP Data'!F285</f>
        <v>0</v>
      </c>
      <c r="G282">
        <f>'PSP Data'!G285</f>
        <v>0</v>
      </c>
      <c r="H282">
        <f>'PSP Data'!H285</f>
        <v>0</v>
      </c>
      <c r="I282">
        <f>'PSP Data'!I285</f>
        <v>0</v>
      </c>
      <c r="J282" s="29" t="e">
        <f t="shared" si="20"/>
        <v>#N/A</v>
      </c>
      <c r="K282" s="29" t="e">
        <f>IF(AND((A282&lt;'PSP Data'!$C$11),(A282&lt;&gt;0)),Analysis!C282,#N/A)</f>
        <v>#N/A</v>
      </c>
      <c r="L282" t="e">
        <f>IF(VLOOKUP(B282,Table1[],4)=0,"unknown", VLOOKUP(B282,Table1[],4))</f>
        <v>#N/A</v>
      </c>
      <c r="M282">
        <v>1</v>
      </c>
      <c r="N282" t="e">
        <f t="shared" si="21"/>
        <v>#N/A</v>
      </c>
      <c r="O282" t="str">
        <f t="shared" si="22"/>
        <v/>
      </c>
      <c r="P282" t="str">
        <f t="shared" si="23"/>
        <v/>
      </c>
      <c r="Q282" t="str">
        <f t="shared" si="24"/>
        <v/>
      </c>
      <c r="R282">
        <v>1</v>
      </c>
    </row>
    <row r="283" spans="1:18">
      <c r="A283">
        <f>'PSP Data'!A286</f>
        <v>0</v>
      </c>
      <c r="B283" t="str">
        <f>IF('PSP Data'!B286=0,"",'PSP Data'!B286)</f>
        <v/>
      </c>
      <c r="C283">
        <f>'PSP Data'!C286</f>
        <v>0</v>
      </c>
      <c r="D283">
        <f>'PSP Data'!D286</f>
        <v>0</v>
      </c>
      <c r="E283">
        <f>'PSP Data'!E286</f>
        <v>0</v>
      </c>
      <c r="F283">
        <f>'PSP Data'!F286</f>
        <v>0</v>
      </c>
      <c r="G283">
        <f>'PSP Data'!G286</f>
        <v>0</v>
      </c>
      <c r="H283">
        <f>'PSP Data'!H286</f>
        <v>0</v>
      </c>
      <c r="I283">
        <f>'PSP Data'!I286</f>
        <v>0</v>
      </c>
      <c r="J283" s="29" t="e">
        <f t="shared" si="20"/>
        <v>#N/A</v>
      </c>
      <c r="K283" s="29" t="e">
        <f>IF(AND((A283&lt;'PSP Data'!$C$11),(A283&lt;&gt;0)),Analysis!C283,#N/A)</f>
        <v>#N/A</v>
      </c>
      <c r="L283" t="e">
        <f>IF(VLOOKUP(B283,Table1[],4)=0,"unknown", VLOOKUP(B283,Table1[],4))</f>
        <v>#N/A</v>
      </c>
      <c r="M283">
        <v>1</v>
      </c>
      <c r="N283" t="e">
        <f t="shared" si="21"/>
        <v>#N/A</v>
      </c>
      <c r="O283" t="str">
        <f t="shared" si="22"/>
        <v/>
      </c>
      <c r="P283" t="str">
        <f t="shared" si="23"/>
        <v/>
      </c>
      <c r="Q283" t="str">
        <f t="shared" si="24"/>
        <v/>
      </c>
      <c r="R283">
        <v>1</v>
      </c>
    </row>
    <row r="284" spans="1:18">
      <c r="A284">
        <f>'PSP Data'!A287</f>
        <v>0</v>
      </c>
      <c r="B284" t="str">
        <f>IF('PSP Data'!B287=0,"",'PSP Data'!B287)</f>
        <v/>
      </c>
      <c r="C284">
        <f>'PSP Data'!C287</f>
        <v>0</v>
      </c>
      <c r="D284">
        <f>'PSP Data'!D287</f>
        <v>0</v>
      </c>
      <c r="E284">
        <f>'PSP Data'!E287</f>
        <v>0</v>
      </c>
      <c r="F284">
        <f>'PSP Data'!F287</f>
        <v>0</v>
      </c>
      <c r="G284">
        <f>'PSP Data'!G287</f>
        <v>0</v>
      </c>
      <c r="H284">
        <f>'PSP Data'!H287</f>
        <v>0</v>
      </c>
      <c r="I284">
        <f>'PSP Data'!I287</f>
        <v>0</v>
      </c>
      <c r="J284" s="29" t="e">
        <f t="shared" si="20"/>
        <v>#N/A</v>
      </c>
      <c r="K284" s="29" t="e">
        <f>IF(AND((A284&lt;'PSP Data'!$C$11),(A284&lt;&gt;0)),Analysis!C284,#N/A)</f>
        <v>#N/A</v>
      </c>
      <c r="L284" t="e">
        <f>IF(VLOOKUP(B284,Table1[],4)=0,"unknown", VLOOKUP(B284,Table1[],4))</f>
        <v>#N/A</v>
      </c>
      <c r="M284">
        <v>1</v>
      </c>
      <c r="N284" t="e">
        <f t="shared" si="21"/>
        <v>#N/A</v>
      </c>
      <c r="O284" t="str">
        <f t="shared" si="22"/>
        <v/>
      </c>
      <c r="P284" t="str">
        <f t="shared" si="23"/>
        <v/>
      </c>
      <c r="Q284" t="str">
        <f t="shared" si="24"/>
        <v/>
      </c>
      <c r="R284">
        <v>1</v>
      </c>
    </row>
    <row r="285" spans="1:18">
      <c r="A285">
        <f>'PSP Data'!A288</f>
        <v>0</v>
      </c>
      <c r="B285" t="str">
        <f>IF('PSP Data'!B288=0,"",'PSP Data'!B288)</f>
        <v/>
      </c>
      <c r="C285">
        <f>'PSP Data'!C288</f>
        <v>0</v>
      </c>
      <c r="D285">
        <f>'PSP Data'!D288</f>
        <v>0</v>
      </c>
      <c r="E285">
        <f>'PSP Data'!E288</f>
        <v>0</v>
      </c>
      <c r="F285">
        <f>'PSP Data'!F288</f>
        <v>0</v>
      </c>
      <c r="G285">
        <f>'PSP Data'!G288</f>
        <v>0</v>
      </c>
      <c r="H285">
        <f>'PSP Data'!H288</f>
        <v>0</v>
      </c>
      <c r="I285">
        <f>'PSP Data'!I288</f>
        <v>0</v>
      </c>
      <c r="J285" s="29" t="e">
        <f t="shared" si="20"/>
        <v>#N/A</v>
      </c>
      <c r="K285" s="29" t="e">
        <f>IF(AND((A285&lt;'PSP Data'!$C$11),(A285&lt;&gt;0)),Analysis!C285,#N/A)</f>
        <v>#N/A</v>
      </c>
      <c r="L285" t="e">
        <f>IF(VLOOKUP(B285,Table1[],4)=0,"unknown", VLOOKUP(B285,Table1[],4))</f>
        <v>#N/A</v>
      </c>
      <c r="M285">
        <v>1</v>
      </c>
      <c r="N285" t="e">
        <f t="shared" si="21"/>
        <v>#N/A</v>
      </c>
      <c r="O285" t="str">
        <f t="shared" si="22"/>
        <v/>
      </c>
      <c r="P285" t="str">
        <f t="shared" si="23"/>
        <v/>
      </c>
      <c r="Q285" t="str">
        <f t="shared" si="24"/>
        <v/>
      </c>
      <c r="R285">
        <v>1</v>
      </c>
    </row>
    <row r="286" spans="1:18">
      <c r="A286">
        <f>'PSP Data'!A289</f>
        <v>0</v>
      </c>
      <c r="B286" t="str">
        <f>IF('PSP Data'!B289=0,"",'PSP Data'!B289)</f>
        <v/>
      </c>
      <c r="C286">
        <f>'PSP Data'!C289</f>
        <v>0</v>
      </c>
      <c r="D286">
        <f>'PSP Data'!D289</f>
        <v>0</v>
      </c>
      <c r="E286">
        <f>'PSP Data'!E289</f>
        <v>0</v>
      </c>
      <c r="F286">
        <f>'PSP Data'!F289</f>
        <v>0</v>
      </c>
      <c r="G286">
        <f>'PSP Data'!G289</f>
        <v>0</v>
      </c>
      <c r="H286">
        <f>'PSP Data'!H289</f>
        <v>0</v>
      </c>
      <c r="I286">
        <f>'PSP Data'!I289</f>
        <v>0</v>
      </c>
      <c r="J286" s="29" t="e">
        <f t="shared" si="20"/>
        <v>#N/A</v>
      </c>
      <c r="K286" s="29" t="e">
        <f>IF(AND((A286&lt;'PSP Data'!$C$11),(A286&lt;&gt;0)),Analysis!C286,#N/A)</f>
        <v>#N/A</v>
      </c>
      <c r="L286" t="e">
        <f>IF(VLOOKUP(B286,Table1[],4)=0,"unknown", VLOOKUP(B286,Table1[],4))</f>
        <v>#N/A</v>
      </c>
      <c r="M286">
        <v>1</v>
      </c>
      <c r="N286" t="e">
        <f t="shared" si="21"/>
        <v>#N/A</v>
      </c>
      <c r="O286" t="str">
        <f t="shared" si="22"/>
        <v/>
      </c>
      <c r="P286" t="str">
        <f t="shared" si="23"/>
        <v/>
      </c>
      <c r="Q286" t="str">
        <f t="shared" si="24"/>
        <v/>
      </c>
      <c r="R286">
        <v>1</v>
      </c>
    </row>
    <row r="287" spans="1:18">
      <c r="A287">
        <f>'PSP Data'!A290</f>
        <v>0</v>
      </c>
      <c r="B287" t="str">
        <f>IF('PSP Data'!B290=0,"",'PSP Data'!B290)</f>
        <v/>
      </c>
      <c r="C287">
        <f>'PSP Data'!C290</f>
        <v>0</v>
      </c>
      <c r="D287">
        <f>'PSP Data'!D290</f>
        <v>0</v>
      </c>
      <c r="E287">
        <f>'PSP Data'!E290</f>
        <v>0</v>
      </c>
      <c r="F287">
        <f>'PSP Data'!F290</f>
        <v>0</v>
      </c>
      <c r="G287">
        <f>'PSP Data'!G290</f>
        <v>0</v>
      </c>
      <c r="H287">
        <f>'PSP Data'!H290</f>
        <v>0</v>
      </c>
      <c r="I287">
        <f>'PSP Data'!I290</f>
        <v>0</v>
      </c>
      <c r="J287" s="29" t="e">
        <f t="shared" si="20"/>
        <v>#N/A</v>
      </c>
      <c r="K287" s="29" t="e">
        <f>IF(AND((A287&lt;'PSP Data'!$C$11),(A287&lt;&gt;0)),Analysis!C287,#N/A)</f>
        <v>#N/A</v>
      </c>
      <c r="L287" t="e">
        <f>IF(VLOOKUP(B287,Table1[],4)=0,"unknown", VLOOKUP(B287,Table1[],4))</f>
        <v>#N/A</v>
      </c>
      <c r="M287">
        <v>1</v>
      </c>
      <c r="N287" t="e">
        <f t="shared" si="21"/>
        <v>#N/A</v>
      </c>
      <c r="O287" t="str">
        <f t="shared" si="22"/>
        <v/>
      </c>
      <c r="P287" t="str">
        <f t="shared" si="23"/>
        <v/>
      </c>
      <c r="Q287" t="str">
        <f t="shared" si="24"/>
        <v/>
      </c>
      <c r="R287">
        <v>1</v>
      </c>
    </row>
    <row r="288" spans="1:18">
      <c r="A288">
        <f>'PSP Data'!A291</f>
        <v>0</v>
      </c>
      <c r="B288" t="str">
        <f>IF('PSP Data'!B291=0,"",'PSP Data'!B291)</f>
        <v/>
      </c>
      <c r="C288">
        <f>'PSP Data'!C291</f>
        <v>0</v>
      </c>
      <c r="D288">
        <f>'PSP Data'!D291</f>
        <v>0</v>
      </c>
      <c r="E288">
        <f>'PSP Data'!E291</f>
        <v>0</v>
      </c>
      <c r="F288">
        <f>'PSP Data'!F291</f>
        <v>0</v>
      </c>
      <c r="G288">
        <f>'PSP Data'!G291</f>
        <v>0</v>
      </c>
      <c r="H288">
        <f>'PSP Data'!H291</f>
        <v>0</v>
      </c>
      <c r="I288">
        <f>'PSP Data'!I291</f>
        <v>0</v>
      </c>
      <c r="J288" s="29" t="e">
        <f t="shared" si="20"/>
        <v>#N/A</v>
      </c>
      <c r="K288" s="29" t="e">
        <f>IF(AND((A288&lt;'PSP Data'!$C$11),(A288&lt;&gt;0)),Analysis!C288,#N/A)</f>
        <v>#N/A</v>
      </c>
      <c r="L288" t="e">
        <f>IF(VLOOKUP(B288,Table1[],4)=0,"unknown", VLOOKUP(B288,Table1[],4))</f>
        <v>#N/A</v>
      </c>
      <c r="M288">
        <v>1</v>
      </c>
      <c r="N288" t="e">
        <f t="shared" si="21"/>
        <v>#N/A</v>
      </c>
      <c r="O288" t="str">
        <f t="shared" si="22"/>
        <v/>
      </c>
      <c r="P288" t="str">
        <f t="shared" si="23"/>
        <v/>
      </c>
      <c r="Q288" t="str">
        <f t="shared" si="24"/>
        <v/>
      </c>
      <c r="R288">
        <v>1</v>
      </c>
    </row>
    <row r="289" spans="1:18">
      <c r="A289">
        <f>'PSP Data'!A292</f>
        <v>0</v>
      </c>
      <c r="B289" t="str">
        <f>IF('PSP Data'!B292=0,"",'PSP Data'!B292)</f>
        <v/>
      </c>
      <c r="C289">
        <f>'PSP Data'!C292</f>
        <v>0</v>
      </c>
      <c r="D289">
        <f>'PSP Data'!D292</f>
        <v>0</v>
      </c>
      <c r="E289">
        <f>'PSP Data'!E292</f>
        <v>0</v>
      </c>
      <c r="F289">
        <f>'PSP Data'!F292</f>
        <v>0</v>
      </c>
      <c r="G289">
        <f>'PSP Data'!G292</f>
        <v>0</v>
      </c>
      <c r="H289">
        <f>'PSP Data'!H292</f>
        <v>0</v>
      </c>
      <c r="I289">
        <f>'PSP Data'!I292</f>
        <v>0</v>
      </c>
      <c r="J289" s="29" t="e">
        <f t="shared" si="20"/>
        <v>#N/A</v>
      </c>
      <c r="K289" s="29" t="e">
        <f>IF(AND((A289&lt;'PSP Data'!$C$11),(A289&lt;&gt;0)),Analysis!C289,#N/A)</f>
        <v>#N/A</v>
      </c>
      <c r="L289" t="e">
        <f>IF(VLOOKUP(B289,Table1[],4)=0,"unknown", VLOOKUP(B289,Table1[],4))</f>
        <v>#N/A</v>
      </c>
      <c r="M289">
        <v>1</v>
      </c>
      <c r="N289" t="e">
        <f t="shared" si="21"/>
        <v>#N/A</v>
      </c>
      <c r="O289" t="str">
        <f t="shared" si="22"/>
        <v/>
      </c>
      <c r="P289" t="str">
        <f t="shared" si="23"/>
        <v/>
      </c>
      <c r="Q289" t="str">
        <f t="shared" si="24"/>
        <v/>
      </c>
      <c r="R289">
        <v>1</v>
      </c>
    </row>
    <row r="290" spans="1:18">
      <c r="A290">
        <f>'PSP Data'!A293</f>
        <v>0</v>
      </c>
      <c r="B290" t="str">
        <f>IF('PSP Data'!B293=0,"",'PSP Data'!B293)</f>
        <v/>
      </c>
      <c r="C290">
        <f>'PSP Data'!C293</f>
        <v>0</v>
      </c>
      <c r="D290">
        <f>'PSP Data'!D293</f>
        <v>0</v>
      </c>
      <c r="E290">
        <f>'PSP Data'!E293</f>
        <v>0</v>
      </c>
      <c r="F290">
        <f>'PSP Data'!F293</f>
        <v>0</v>
      </c>
      <c r="G290">
        <f>'PSP Data'!G293</f>
        <v>0</v>
      </c>
      <c r="H290">
        <f>'PSP Data'!H293</f>
        <v>0</v>
      </c>
      <c r="I290">
        <f>'PSP Data'!I293</f>
        <v>0</v>
      </c>
      <c r="J290" s="29" t="e">
        <f t="shared" si="20"/>
        <v>#N/A</v>
      </c>
      <c r="K290" s="29" t="e">
        <f>IF(AND((A290&lt;'PSP Data'!$C$11),(A290&lt;&gt;0)),Analysis!C290,#N/A)</f>
        <v>#N/A</v>
      </c>
      <c r="L290" t="e">
        <f>IF(VLOOKUP(B290,Table1[],4)=0,"unknown", VLOOKUP(B290,Table1[],4))</f>
        <v>#N/A</v>
      </c>
      <c r="M290">
        <v>1</v>
      </c>
      <c r="N290" t="e">
        <f t="shared" si="21"/>
        <v>#N/A</v>
      </c>
      <c r="O290" t="str">
        <f t="shared" si="22"/>
        <v/>
      </c>
      <c r="P290" t="str">
        <f t="shared" si="23"/>
        <v/>
      </c>
      <c r="Q290" t="str">
        <f t="shared" si="24"/>
        <v/>
      </c>
      <c r="R290">
        <v>1</v>
      </c>
    </row>
    <row r="291" spans="1:18">
      <c r="A291">
        <f>'PSP Data'!A294</f>
        <v>0</v>
      </c>
      <c r="B291" t="str">
        <f>IF('PSP Data'!B294=0,"",'PSP Data'!B294)</f>
        <v/>
      </c>
      <c r="C291">
        <f>'PSP Data'!C294</f>
        <v>0</v>
      </c>
      <c r="D291">
        <f>'PSP Data'!D294</f>
        <v>0</v>
      </c>
      <c r="E291">
        <f>'PSP Data'!E294</f>
        <v>0</v>
      </c>
      <c r="F291">
        <f>'PSP Data'!F294</f>
        <v>0</v>
      </c>
      <c r="G291">
        <f>'PSP Data'!G294</f>
        <v>0</v>
      </c>
      <c r="H291">
        <f>'PSP Data'!H294</f>
        <v>0</v>
      </c>
      <c r="I291">
        <f>'PSP Data'!I294</f>
        <v>0</v>
      </c>
      <c r="J291" s="29" t="e">
        <f t="shared" si="20"/>
        <v>#N/A</v>
      </c>
      <c r="K291" s="29" t="e">
        <f>IF(AND((A291&lt;'PSP Data'!$C$11),(A291&lt;&gt;0)),Analysis!C291,#N/A)</f>
        <v>#N/A</v>
      </c>
      <c r="L291" t="e">
        <f>IF(VLOOKUP(B291,Table1[],4)=0,"unknown", VLOOKUP(B291,Table1[],4))</f>
        <v>#N/A</v>
      </c>
      <c r="M291">
        <v>1</v>
      </c>
      <c r="N291" t="e">
        <f t="shared" si="21"/>
        <v>#N/A</v>
      </c>
      <c r="O291" t="str">
        <f t="shared" si="22"/>
        <v/>
      </c>
      <c r="P291" t="str">
        <f t="shared" si="23"/>
        <v/>
      </c>
      <c r="Q291" t="str">
        <f t="shared" si="24"/>
        <v/>
      </c>
      <c r="R291">
        <v>1</v>
      </c>
    </row>
    <row r="292" spans="1:18">
      <c r="A292">
        <f>'PSP Data'!A295</f>
        <v>0</v>
      </c>
      <c r="B292" t="str">
        <f>IF('PSP Data'!B295=0,"",'PSP Data'!B295)</f>
        <v/>
      </c>
      <c r="C292">
        <f>'PSP Data'!C295</f>
        <v>0</v>
      </c>
      <c r="D292">
        <f>'PSP Data'!D295</f>
        <v>0</v>
      </c>
      <c r="E292">
        <f>'PSP Data'!E295</f>
        <v>0</v>
      </c>
      <c r="F292">
        <f>'PSP Data'!F295</f>
        <v>0</v>
      </c>
      <c r="G292">
        <f>'PSP Data'!G295</f>
        <v>0</v>
      </c>
      <c r="H292">
        <f>'PSP Data'!H295</f>
        <v>0</v>
      </c>
      <c r="I292">
        <f>'PSP Data'!I295</f>
        <v>0</v>
      </c>
      <c r="J292" s="29" t="e">
        <f t="shared" si="20"/>
        <v>#N/A</v>
      </c>
      <c r="K292" s="29" t="e">
        <f>IF(AND((A292&lt;'PSP Data'!$C$11),(A292&lt;&gt;0)),Analysis!C292,#N/A)</f>
        <v>#N/A</v>
      </c>
      <c r="L292" t="e">
        <f>IF(VLOOKUP(B292,Table1[],4)=0,"unknown", VLOOKUP(B292,Table1[],4))</f>
        <v>#N/A</v>
      </c>
      <c r="M292">
        <v>1</v>
      </c>
      <c r="N292" t="e">
        <f t="shared" si="21"/>
        <v>#N/A</v>
      </c>
      <c r="O292" t="str">
        <f t="shared" si="22"/>
        <v/>
      </c>
      <c r="P292" t="str">
        <f t="shared" si="23"/>
        <v/>
      </c>
      <c r="Q292" t="str">
        <f t="shared" si="24"/>
        <v/>
      </c>
      <c r="R292">
        <v>1</v>
      </c>
    </row>
    <row r="293" spans="1:18">
      <c r="A293">
        <f>'PSP Data'!A296</f>
        <v>0</v>
      </c>
      <c r="B293" t="str">
        <f>IF('PSP Data'!B296=0,"",'PSP Data'!B296)</f>
        <v/>
      </c>
      <c r="C293">
        <f>'PSP Data'!C296</f>
        <v>0</v>
      </c>
      <c r="D293">
        <f>'PSP Data'!D296</f>
        <v>0</v>
      </c>
      <c r="E293">
        <f>'PSP Data'!E296</f>
        <v>0</v>
      </c>
      <c r="F293">
        <f>'PSP Data'!F296</f>
        <v>0</v>
      </c>
      <c r="G293">
        <f>'PSP Data'!G296</f>
        <v>0</v>
      </c>
      <c r="H293">
        <f>'PSP Data'!H296</f>
        <v>0</v>
      </c>
      <c r="I293">
        <f>'PSP Data'!I296</f>
        <v>0</v>
      </c>
      <c r="J293" s="29" t="e">
        <f t="shared" si="20"/>
        <v>#N/A</v>
      </c>
      <c r="K293" s="29" t="e">
        <f>IF(AND((A293&lt;'PSP Data'!$C$11),(A293&lt;&gt;0)),Analysis!C293,#N/A)</f>
        <v>#N/A</v>
      </c>
      <c r="L293" t="e">
        <f>IF(VLOOKUP(B293,Table1[],4)=0,"unknown", VLOOKUP(B293,Table1[],4))</f>
        <v>#N/A</v>
      </c>
      <c r="M293">
        <v>1</v>
      </c>
      <c r="N293" t="e">
        <f t="shared" si="21"/>
        <v>#N/A</v>
      </c>
      <c r="O293" t="str">
        <f t="shared" si="22"/>
        <v/>
      </c>
      <c r="P293" t="str">
        <f t="shared" si="23"/>
        <v/>
      </c>
      <c r="Q293" t="str">
        <f t="shared" si="24"/>
        <v/>
      </c>
      <c r="R293">
        <v>1</v>
      </c>
    </row>
    <row r="294" spans="1:18">
      <c r="A294">
        <f>'PSP Data'!A297</f>
        <v>0</v>
      </c>
      <c r="B294" t="str">
        <f>IF('PSP Data'!B297=0,"",'PSP Data'!B297)</f>
        <v/>
      </c>
      <c r="C294">
        <f>'PSP Data'!C297</f>
        <v>0</v>
      </c>
      <c r="D294">
        <f>'PSP Data'!D297</f>
        <v>0</v>
      </c>
      <c r="E294">
        <f>'PSP Data'!E297</f>
        <v>0</v>
      </c>
      <c r="F294">
        <f>'PSP Data'!F297</f>
        <v>0</v>
      </c>
      <c r="G294">
        <f>'PSP Data'!G297</f>
        <v>0</v>
      </c>
      <c r="H294">
        <f>'PSP Data'!H297</f>
        <v>0</v>
      </c>
      <c r="I294">
        <f>'PSP Data'!I297</f>
        <v>0</v>
      </c>
      <c r="J294" s="29" t="e">
        <f t="shared" si="20"/>
        <v>#N/A</v>
      </c>
      <c r="K294" s="29" t="e">
        <f>IF(AND((A294&lt;'PSP Data'!$C$11),(A294&lt;&gt;0)),Analysis!C294,#N/A)</f>
        <v>#N/A</v>
      </c>
      <c r="L294" t="e">
        <f>IF(VLOOKUP(B294,Table1[],4)=0,"unknown", VLOOKUP(B294,Table1[],4))</f>
        <v>#N/A</v>
      </c>
      <c r="M294">
        <v>1</v>
      </c>
      <c r="N294" t="e">
        <f t="shared" si="21"/>
        <v>#N/A</v>
      </c>
      <c r="O294" t="str">
        <f t="shared" si="22"/>
        <v/>
      </c>
      <c r="P294" t="str">
        <f t="shared" si="23"/>
        <v/>
      </c>
      <c r="Q294" t="str">
        <f t="shared" si="24"/>
        <v/>
      </c>
      <c r="R294">
        <v>1</v>
      </c>
    </row>
    <row r="295" spans="1:18">
      <c r="A295">
        <f>'PSP Data'!A298</f>
        <v>0</v>
      </c>
      <c r="B295" t="str">
        <f>IF('PSP Data'!B298=0,"",'PSP Data'!B298)</f>
        <v/>
      </c>
      <c r="C295">
        <f>'PSP Data'!C298</f>
        <v>0</v>
      </c>
      <c r="D295">
        <f>'PSP Data'!D298</f>
        <v>0</v>
      </c>
      <c r="E295">
        <f>'PSP Data'!E298</f>
        <v>0</v>
      </c>
      <c r="F295">
        <f>'PSP Data'!F298</f>
        <v>0</v>
      </c>
      <c r="G295">
        <f>'PSP Data'!G298</f>
        <v>0</v>
      </c>
      <c r="H295">
        <f>'PSP Data'!H298</f>
        <v>0</v>
      </c>
      <c r="I295">
        <f>'PSP Data'!I298</f>
        <v>0</v>
      </c>
      <c r="J295" s="29" t="e">
        <f t="shared" si="20"/>
        <v>#N/A</v>
      </c>
      <c r="K295" s="29" t="e">
        <f>IF(AND((A295&lt;'PSP Data'!$C$11),(A295&lt;&gt;0)),Analysis!C295,#N/A)</f>
        <v>#N/A</v>
      </c>
      <c r="L295" t="e">
        <f>IF(VLOOKUP(B295,Table1[],4)=0,"unknown", VLOOKUP(B295,Table1[],4))</f>
        <v>#N/A</v>
      </c>
      <c r="M295">
        <v>1</v>
      </c>
      <c r="N295" t="e">
        <f t="shared" si="21"/>
        <v>#N/A</v>
      </c>
      <c r="O295" t="str">
        <f t="shared" si="22"/>
        <v/>
      </c>
      <c r="P295" t="str">
        <f t="shared" si="23"/>
        <v/>
      </c>
      <c r="Q295" t="str">
        <f t="shared" si="24"/>
        <v/>
      </c>
      <c r="R295">
        <v>1</v>
      </c>
    </row>
    <row r="296" spans="1:18">
      <c r="A296">
        <f>'PSP Data'!A299</f>
        <v>0</v>
      </c>
      <c r="B296" t="str">
        <f>IF('PSP Data'!B299=0,"",'PSP Data'!B299)</f>
        <v/>
      </c>
      <c r="C296">
        <f>'PSP Data'!C299</f>
        <v>0</v>
      </c>
      <c r="D296">
        <f>'PSP Data'!D299</f>
        <v>0</v>
      </c>
      <c r="E296">
        <f>'PSP Data'!E299</f>
        <v>0</v>
      </c>
      <c r="F296">
        <f>'PSP Data'!F299</f>
        <v>0</v>
      </c>
      <c r="G296">
        <f>'PSP Data'!G299</f>
        <v>0</v>
      </c>
      <c r="H296">
        <f>'PSP Data'!H299</f>
        <v>0</v>
      </c>
      <c r="I296">
        <f>'PSP Data'!I299</f>
        <v>0</v>
      </c>
      <c r="J296" s="29" t="e">
        <f t="shared" si="20"/>
        <v>#N/A</v>
      </c>
      <c r="K296" s="29" t="e">
        <f>IF(AND((A296&lt;'PSP Data'!$C$11),(A296&lt;&gt;0)),Analysis!C296,#N/A)</f>
        <v>#N/A</v>
      </c>
      <c r="L296" t="e">
        <f>IF(VLOOKUP(B296,Table1[],4)=0,"unknown", VLOOKUP(B296,Table1[],4))</f>
        <v>#N/A</v>
      </c>
      <c r="M296">
        <v>1</v>
      </c>
      <c r="N296" t="e">
        <f t="shared" si="21"/>
        <v>#N/A</v>
      </c>
      <c r="O296" t="str">
        <f t="shared" si="22"/>
        <v/>
      </c>
      <c r="P296" t="str">
        <f t="shared" si="23"/>
        <v/>
      </c>
      <c r="Q296" t="str">
        <f t="shared" si="24"/>
        <v/>
      </c>
      <c r="R296">
        <v>1</v>
      </c>
    </row>
    <row r="297" spans="1:18">
      <c r="A297">
        <f>'PSP Data'!A300</f>
        <v>0</v>
      </c>
      <c r="B297" t="str">
        <f>IF('PSP Data'!B300=0,"",'PSP Data'!B300)</f>
        <v/>
      </c>
      <c r="C297">
        <f>'PSP Data'!C300</f>
        <v>0</v>
      </c>
      <c r="D297">
        <f>'PSP Data'!D300</f>
        <v>0</v>
      </c>
      <c r="E297">
        <f>'PSP Data'!E300</f>
        <v>0</v>
      </c>
      <c r="F297">
        <f>'PSP Data'!F300</f>
        <v>0</v>
      </c>
      <c r="G297">
        <f>'PSP Data'!G300</f>
        <v>0</v>
      </c>
      <c r="H297">
        <f>'PSP Data'!H300</f>
        <v>0</v>
      </c>
      <c r="I297">
        <f>'PSP Data'!I300</f>
        <v>0</v>
      </c>
      <c r="J297" s="29" t="e">
        <f t="shared" si="20"/>
        <v>#N/A</v>
      </c>
      <c r="K297" s="29" t="e">
        <f>IF(AND((A297&lt;'PSP Data'!$C$11),(A297&lt;&gt;0)),Analysis!C297,#N/A)</f>
        <v>#N/A</v>
      </c>
      <c r="L297" t="e">
        <f>IF(VLOOKUP(B297,Table1[],4)=0,"unknown", VLOOKUP(B297,Table1[],4))</f>
        <v>#N/A</v>
      </c>
      <c r="M297">
        <v>1</v>
      </c>
      <c r="N297" t="e">
        <f t="shared" si="21"/>
        <v>#N/A</v>
      </c>
      <c r="O297" t="str">
        <f t="shared" si="22"/>
        <v/>
      </c>
      <c r="P297" t="str">
        <f t="shared" si="23"/>
        <v/>
      </c>
      <c r="Q297" t="str">
        <f t="shared" si="24"/>
        <v/>
      </c>
      <c r="R297">
        <v>1</v>
      </c>
    </row>
    <row r="298" spans="1:18">
      <c r="A298">
        <f>'PSP Data'!A301</f>
        <v>0</v>
      </c>
      <c r="B298" t="str">
        <f>IF('PSP Data'!B301=0,"",'PSP Data'!B301)</f>
        <v/>
      </c>
      <c r="C298">
        <f>'PSP Data'!C301</f>
        <v>0</v>
      </c>
      <c r="D298">
        <f>'PSP Data'!D301</f>
        <v>0</v>
      </c>
      <c r="E298">
        <f>'PSP Data'!E301</f>
        <v>0</v>
      </c>
      <c r="F298">
        <f>'PSP Data'!F301</f>
        <v>0</v>
      </c>
      <c r="G298">
        <f>'PSP Data'!G301</f>
        <v>0</v>
      </c>
      <c r="H298">
        <f>'PSP Data'!H301</f>
        <v>0</v>
      </c>
      <c r="I298">
        <f>'PSP Data'!I301</f>
        <v>0</v>
      </c>
      <c r="J298" s="29" t="e">
        <f t="shared" si="20"/>
        <v>#N/A</v>
      </c>
      <c r="K298" s="29" t="e">
        <f>IF(AND((A298&lt;'PSP Data'!$C$11),(A298&lt;&gt;0)),Analysis!C298,#N/A)</f>
        <v>#N/A</v>
      </c>
      <c r="L298" t="e">
        <f>IF(VLOOKUP(B298,Table1[],4)=0,"unknown", VLOOKUP(B298,Table1[],4))</f>
        <v>#N/A</v>
      </c>
      <c r="M298">
        <v>1</v>
      </c>
      <c r="N298" t="e">
        <f t="shared" si="21"/>
        <v>#N/A</v>
      </c>
      <c r="O298" t="str">
        <f t="shared" si="22"/>
        <v/>
      </c>
      <c r="P298" t="str">
        <f t="shared" si="23"/>
        <v/>
      </c>
      <c r="Q298" t="str">
        <f t="shared" si="24"/>
        <v/>
      </c>
      <c r="R298">
        <v>1</v>
      </c>
    </row>
    <row r="299" spans="1:18">
      <c r="A299">
        <f>'PSP Data'!A302</f>
        <v>0</v>
      </c>
      <c r="B299" t="str">
        <f>IF('PSP Data'!B302=0,"",'PSP Data'!B302)</f>
        <v/>
      </c>
      <c r="C299">
        <f>'PSP Data'!C302</f>
        <v>0</v>
      </c>
      <c r="D299">
        <f>'PSP Data'!D302</f>
        <v>0</v>
      </c>
      <c r="E299">
        <f>'PSP Data'!E302</f>
        <v>0</v>
      </c>
      <c r="F299">
        <f>'PSP Data'!F302</f>
        <v>0</v>
      </c>
      <c r="G299">
        <f>'PSP Data'!G302</f>
        <v>0</v>
      </c>
      <c r="H299">
        <f>'PSP Data'!H302</f>
        <v>0</v>
      </c>
      <c r="I299">
        <f>'PSP Data'!I302</f>
        <v>0</v>
      </c>
      <c r="J299" s="29" t="e">
        <f t="shared" si="20"/>
        <v>#N/A</v>
      </c>
      <c r="K299" s="29" t="e">
        <f>IF(AND((A299&lt;'PSP Data'!$C$11),(A299&lt;&gt;0)),Analysis!C299,#N/A)</f>
        <v>#N/A</v>
      </c>
      <c r="L299" t="e">
        <f>IF(VLOOKUP(B299,Table1[],4)=0,"unknown", VLOOKUP(B299,Table1[],4))</f>
        <v>#N/A</v>
      </c>
      <c r="M299">
        <v>1</v>
      </c>
      <c r="N299" t="e">
        <f t="shared" si="21"/>
        <v>#N/A</v>
      </c>
      <c r="O299" t="str">
        <f t="shared" si="22"/>
        <v/>
      </c>
      <c r="P299" t="str">
        <f t="shared" si="23"/>
        <v/>
      </c>
      <c r="Q299" t="str">
        <f t="shared" si="24"/>
        <v/>
      </c>
      <c r="R299">
        <v>1</v>
      </c>
    </row>
    <row r="300" spans="1:18">
      <c r="A300">
        <f>'PSP Data'!A303</f>
        <v>0</v>
      </c>
      <c r="B300" t="str">
        <f>IF('PSP Data'!B303=0,"",'PSP Data'!B303)</f>
        <v/>
      </c>
      <c r="C300">
        <f>'PSP Data'!C303</f>
        <v>0</v>
      </c>
      <c r="D300">
        <f>'PSP Data'!D303</f>
        <v>0</v>
      </c>
      <c r="E300">
        <f>'PSP Data'!E303</f>
        <v>0</v>
      </c>
      <c r="F300">
        <f>'PSP Data'!F303</f>
        <v>0</v>
      </c>
      <c r="G300">
        <f>'PSP Data'!G303</f>
        <v>0</v>
      </c>
      <c r="H300">
        <f>'PSP Data'!H303</f>
        <v>0</v>
      </c>
      <c r="I300">
        <f>'PSP Data'!I303</f>
        <v>0</v>
      </c>
      <c r="J300" s="29" t="e">
        <f t="shared" si="20"/>
        <v>#N/A</v>
      </c>
      <c r="K300" s="29" t="e">
        <f>IF(AND((A300&lt;'PSP Data'!$C$11),(A300&lt;&gt;0)),Analysis!C300,#N/A)</f>
        <v>#N/A</v>
      </c>
      <c r="L300" t="e">
        <f>IF(VLOOKUP(B300,Table1[],4)=0,"unknown", VLOOKUP(B300,Table1[],4))</f>
        <v>#N/A</v>
      </c>
      <c r="M300">
        <v>1</v>
      </c>
      <c r="N300" t="e">
        <f t="shared" si="21"/>
        <v>#N/A</v>
      </c>
      <c r="O300" t="str">
        <f t="shared" si="22"/>
        <v/>
      </c>
      <c r="P300" t="str">
        <f t="shared" si="23"/>
        <v/>
      </c>
      <c r="Q300" t="str">
        <f t="shared" si="24"/>
        <v/>
      </c>
      <c r="R300">
        <v>1</v>
      </c>
    </row>
    <row r="301" spans="1:18">
      <c r="A301">
        <f>'PSP Data'!A304</f>
        <v>0</v>
      </c>
      <c r="B301" t="str">
        <f>IF('PSP Data'!B304=0,"",'PSP Data'!B304)</f>
        <v/>
      </c>
      <c r="C301">
        <f>'PSP Data'!C304</f>
        <v>0</v>
      </c>
      <c r="D301">
        <f>'PSP Data'!D304</f>
        <v>0</v>
      </c>
      <c r="E301">
        <f>'PSP Data'!E304</f>
        <v>0</v>
      </c>
      <c r="F301">
        <f>'PSP Data'!F304</f>
        <v>0</v>
      </c>
      <c r="G301">
        <f>'PSP Data'!G304</f>
        <v>0</v>
      </c>
      <c r="H301">
        <f>'PSP Data'!H304</f>
        <v>0</v>
      </c>
      <c r="I301">
        <f>'PSP Data'!I304</f>
        <v>0</v>
      </c>
      <c r="J301" s="29" t="e">
        <f t="shared" si="20"/>
        <v>#N/A</v>
      </c>
      <c r="K301" s="29" t="e">
        <f>IF(AND((A301&lt;'PSP Data'!$C$11),(A301&lt;&gt;0)),Analysis!C301,#N/A)</f>
        <v>#N/A</v>
      </c>
      <c r="L301" t="e">
        <f>IF(VLOOKUP(B301,Table1[],4)=0,"unknown", VLOOKUP(B301,Table1[],4))</f>
        <v>#N/A</v>
      </c>
      <c r="M301">
        <v>1</v>
      </c>
      <c r="N301" t="e">
        <f t="shared" si="21"/>
        <v>#N/A</v>
      </c>
      <c r="O301" t="str">
        <f t="shared" si="22"/>
        <v/>
      </c>
      <c r="P301" t="str">
        <f t="shared" si="23"/>
        <v/>
      </c>
      <c r="Q301" t="str">
        <f t="shared" si="24"/>
        <v/>
      </c>
      <c r="R301">
        <v>1</v>
      </c>
    </row>
    <row r="302" spans="1:18">
      <c r="A302">
        <f>'PSP Data'!A305</f>
        <v>0</v>
      </c>
      <c r="B302" t="str">
        <f>IF('PSP Data'!B305=0,"",'PSP Data'!B305)</f>
        <v/>
      </c>
      <c r="C302">
        <f>'PSP Data'!C305</f>
        <v>0</v>
      </c>
      <c r="D302">
        <f>'PSP Data'!D305</f>
        <v>0</v>
      </c>
      <c r="E302">
        <f>'PSP Data'!E305</f>
        <v>0</v>
      </c>
      <c r="F302">
        <f>'PSP Data'!F305</f>
        <v>0</v>
      </c>
      <c r="G302">
        <f>'PSP Data'!G305</f>
        <v>0</v>
      </c>
      <c r="H302">
        <f>'PSP Data'!H305</f>
        <v>0</v>
      </c>
      <c r="I302">
        <f>'PSP Data'!I305</f>
        <v>0</v>
      </c>
      <c r="J302" s="29" t="e">
        <f t="shared" si="20"/>
        <v>#N/A</v>
      </c>
      <c r="K302" s="29" t="e">
        <f>IF(AND((A302&lt;'PSP Data'!$C$11),(A302&lt;&gt;0)),Analysis!C302,#N/A)</f>
        <v>#N/A</v>
      </c>
      <c r="L302" t="e">
        <f>IF(VLOOKUP(B302,Table1[],4)=0,"unknown", VLOOKUP(B302,Table1[],4))</f>
        <v>#N/A</v>
      </c>
      <c r="M302">
        <v>1</v>
      </c>
      <c r="N302" t="e">
        <f t="shared" si="21"/>
        <v>#N/A</v>
      </c>
      <c r="O302" t="str">
        <f t="shared" si="22"/>
        <v/>
      </c>
      <c r="P302" t="str">
        <f t="shared" si="23"/>
        <v/>
      </c>
      <c r="Q302" t="str">
        <f t="shared" si="24"/>
        <v/>
      </c>
      <c r="R302">
        <v>1</v>
      </c>
    </row>
    <row r="303" spans="1:18">
      <c r="A303">
        <f>'PSP Data'!A306</f>
        <v>0</v>
      </c>
      <c r="B303" t="str">
        <f>IF('PSP Data'!B306=0,"",'PSP Data'!B306)</f>
        <v/>
      </c>
      <c r="C303">
        <f>'PSP Data'!C306</f>
        <v>0</v>
      </c>
      <c r="D303">
        <f>'PSP Data'!D306</f>
        <v>0</v>
      </c>
      <c r="E303">
        <f>'PSP Data'!E306</f>
        <v>0</v>
      </c>
      <c r="F303">
        <f>'PSP Data'!F306</f>
        <v>0</v>
      </c>
      <c r="G303">
        <f>'PSP Data'!G306</f>
        <v>0</v>
      </c>
      <c r="H303">
        <f>'PSP Data'!H306</f>
        <v>0</v>
      </c>
      <c r="I303">
        <f>'PSP Data'!I306</f>
        <v>0</v>
      </c>
      <c r="J303" s="29" t="e">
        <f t="shared" si="20"/>
        <v>#N/A</v>
      </c>
      <c r="K303" s="29" t="e">
        <f>IF(AND((A303&lt;'PSP Data'!$C$11),(A303&lt;&gt;0)),Analysis!C303,#N/A)</f>
        <v>#N/A</v>
      </c>
      <c r="L303" t="e">
        <f>IF(VLOOKUP(B303,Table1[],4)=0,"unknown", VLOOKUP(B303,Table1[],4))</f>
        <v>#N/A</v>
      </c>
      <c r="M303">
        <v>1</v>
      </c>
      <c r="N303" t="e">
        <f t="shared" si="21"/>
        <v>#N/A</v>
      </c>
      <c r="O303" t="str">
        <f t="shared" si="22"/>
        <v/>
      </c>
      <c r="P303" t="str">
        <f t="shared" si="23"/>
        <v/>
      </c>
      <c r="Q303" t="str">
        <f t="shared" si="24"/>
        <v/>
      </c>
      <c r="R303">
        <v>1</v>
      </c>
    </row>
    <row r="304" spans="1:18">
      <c r="A304">
        <f>'PSP Data'!A307</f>
        <v>0</v>
      </c>
      <c r="B304" t="str">
        <f>IF('PSP Data'!B307=0,"",'PSP Data'!B307)</f>
        <v/>
      </c>
      <c r="C304">
        <f>'PSP Data'!C307</f>
        <v>0</v>
      </c>
      <c r="D304">
        <f>'PSP Data'!D307</f>
        <v>0</v>
      </c>
      <c r="E304">
        <f>'PSP Data'!E307</f>
        <v>0</v>
      </c>
      <c r="F304">
        <f>'PSP Data'!F307</f>
        <v>0</v>
      </c>
      <c r="G304">
        <f>'PSP Data'!G307</f>
        <v>0</v>
      </c>
      <c r="H304">
        <f>'PSP Data'!H307</f>
        <v>0</v>
      </c>
      <c r="I304">
        <f>'PSP Data'!I307</f>
        <v>0</v>
      </c>
      <c r="J304" s="29" t="e">
        <f t="shared" si="20"/>
        <v>#N/A</v>
      </c>
      <c r="K304" s="29" t="e">
        <f>IF(AND((A304&lt;'PSP Data'!$C$11),(A304&lt;&gt;0)),Analysis!C304,#N/A)</f>
        <v>#N/A</v>
      </c>
      <c r="L304" t="e">
        <f>IF(VLOOKUP(B304,Table1[],4)=0,"unknown", VLOOKUP(B304,Table1[],4))</f>
        <v>#N/A</v>
      </c>
      <c r="M304">
        <v>1</v>
      </c>
      <c r="N304" t="e">
        <f t="shared" si="21"/>
        <v>#N/A</v>
      </c>
      <c r="O304" t="str">
        <f t="shared" si="22"/>
        <v/>
      </c>
      <c r="P304" t="str">
        <f t="shared" si="23"/>
        <v/>
      </c>
      <c r="Q304" t="str">
        <f t="shared" si="24"/>
        <v/>
      </c>
      <c r="R304">
        <v>1</v>
      </c>
    </row>
    <row r="305" spans="1:18">
      <c r="A305">
        <f>'PSP Data'!A308</f>
        <v>0</v>
      </c>
      <c r="B305" t="str">
        <f>IF('PSP Data'!B308=0,"",'PSP Data'!B308)</f>
        <v/>
      </c>
      <c r="C305">
        <f>'PSP Data'!C308</f>
        <v>0</v>
      </c>
      <c r="D305">
        <f>'PSP Data'!D308</f>
        <v>0</v>
      </c>
      <c r="E305">
        <f>'PSP Data'!E308</f>
        <v>0</v>
      </c>
      <c r="F305">
        <f>'PSP Data'!F308</f>
        <v>0</v>
      </c>
      <c r="G305">
        <f>'PSP Data'!G308</f>
        <v>0</v>
      </c>
      <c r="H305">
        <f>'PSP Data'!H308</f>
        <v>0</v>
      </c>
      <c r="I305">
        <f>'PSP Data'!I308</f>
        <v>0</v>
      </c>
      <c r="J305" s="29" t="e">
        <f t="shared" si="20"/>
        <v>#N/A</v>
      </c>
      <c r="K305" s="29" t="e">
        <f>IF(AND((A305&lt;'PSP Data'!$C$11),(A305&lt;&gt;0)),Analysis!C305,#N/A)</f>
        <v>#N/A</v>
      </c>
      <c r="L305" t="e">
        <f>IF(VLOOKUP(B305,Table1[],4)=0,"unknown", VLOOKUP(B305,Table1[],4))</f>
        <v>#N/A</v>
      </c>
      <c r="M305">
        <v>1</v>
      </c>
      <c r="N305" t="e">
        <f t="shared" si="21"/>
        <v>#N/A</v>
      </c>
      <c r="O305" t="str">
        <f t="shared" si="22"/>
        <v/>
      </c>
      <c r="P305" t="str">
        <f t="shared" si="23"/>
        <v/>
      </c>
      <c r="Q305" t="str">
        <f t="shared" si="24"/>
        <v/>
      </c>
      <c r="R305">
        <v>1</v>
      </c>
    </row>
    <row r="306" spans="1:18">
      <c r="A306">
        <f>'PSP Data'!A309</f>
        <v>0</v>
      </c>
      <c r="B306" t="str">
        <f>IF('PSP Data'!B309=0,"",'PSP Data'!B309)</f>
        <v/>
      </c>
      <c r="C306">
        <f>'PSP Data'!C309</f>
        <v>0</v>
      </c>
      <c r="D306">
        <f>'PSP Data'!D309</f>
        <v>0</v>
      </c>
      <c r="E306">
        <f>'PSP Data'!E309</f>
        <v>0</v>
      </c>
      <c r="F306">
        <f>'PSP Data'!F309</f>
        <v>0</v>
      </c>
      <c r="G306">
        <f>'PSP Data'!G309</f>
        <v>0</v>
      </c>
      <c r="H306">
        <f>'PSP Data'!H309</f>
        <v>0</v>
      </c>
      <c r="I306">
        <f>'PSP Data'!I309</f>
        <v>0</v>
      </c>
      <c r="J306" s="29" t="e">
        <f t="shared" si="20"/>
        <v>#N/A</v>
      </c>
      <c r="K306" s="29" t="e">
        <f>IF(AND((A306&lt;'PSP Data'!$C$11),(A306&lt;&gt;0)),Analysis!C306,#N/A)</f>
        <v>#N/A</v>
      </c>
      <c r="L306" t="e">
        <f>IF(VLOOKUP(B306,Table1[],4)=0,"unknown", VLOOKUP(B306,Table1[],4))</f>
        <v>#N/A</v>
      </c>
      <c r="M306">
        <v>1</v>
      </c>
      <c r="N306" t="e">
        <f t="shared" si="21"/>
        <v>#N/A</v>
      </c>
      <c r="O306" t="str">
        <f t="shared" si="22"/>
        <v/>
      </c>
      <c r="P306" t="str">
        <f t="shared" si="23"/>
        <v/>
      </c>
      <c r="Q306" t="str">
        <f t="shared" si="24"/>
        <v/>
      </c>
      <c r="R306">
        <v>1</v>
      </c>
    </row>
    <row r="307" spans="1:18">
      <c r="A307">
        <f>'PSP Data'!A310</f>
        <v>0</v>
      </c>
      <c r="B307" t="str">
        <f>IF('PSP Data'!B310=0,"",'PSP Data'!B310)</f>
        <v/>
      </c>
      <c r="C307">
        <f>'PSP Data'!C310</f>
        <v>0</v>
      </c>
      <c r="D307">
        <f>'PSP Data'!D310</f>
        <v>0</v>
      </c>
      <c r="E307">
        <f>'PSP Data'!E310</f>
        <v>0</v>
      </c>
      <c r="F307">
        <f>'PSP Data'!F310</f>
        <v>0</v>
      </c>
      <c r="G307">
        <f>'PSP Data'!G310</f>
        <v>0</v>
      </c>
      <c r="H307">
        <f>'PSP Data'!H310</f>
        <v>0</v>
      </c>
      <c r="I307">
        <f>'PSP Data'!I310</f>
        <v>0</v>
      </c>
      <c r="J307" s="29" t="e">
        <f t="shared" si="20"/>
        <v>#N/A</v>
      </c>
      <c r="K307" s="29" t="e">
        <f>IF(AND((A307&lt;'PSP Data'!$C$11),(A307&lt;&gt;0)),Analysis!C307,#N/A)</f>
        <v>#N/A</v>
      </c>
      <c r="L307" t="e">
        <f>IF(VLOOKUP(B307,Table1[],4)=0,"unknown", VLOOKUP(B307,Table1[],4))</f>
        <v>#N/A</v>
      </c>
      <c r="M307">
        <v>1</v>
      </c>
      <c r="N307" t="e">
        <f t="shared" si="21"/>
        <v>#N/A</v>
      </c>
      <c r="O307" t="str">
        <f t="shared" si="22"/>
        <v/>
      </c>
      <c r="P307" t="str">
        <f t="shared" si="23"/>
        <v/>
      </c>
      <c r="Q307" t="str">
        <f t="shared" si="24"/>
        <v/>
      </c>
      <c r="R307">
        <v>1</v>
      </c>
    </row>
    <row r="308" spans="1:18">
      <c r="A308">
        <f>'PSP Data'!A311</f>
        <v>0</v>
      </c>
      <c r="B308" t="str">
        <f>IF('PSP Data'!B311=0,"",'PSP Data'!B311)</f>
        <v/>
      </c>
      <c r="C308">
        <f>'PSP Data'!C311</f>
        <v>0</v>
      </c>
      <c r="D308">
        <f>'PSP Data'!D311</f>
        <v>0</v>
      </c>
      <c r="E308">
        <f>'PSP Data'!E311</f>
        <v>0</v>
      </c>
      <c r="F308">
        <f>'PSP Data'!F311</f>
        <v>0</v>
      </c>
      <c r="G308">
        <f>'PSP Data'!G311</f>
        <v>0</v>
      </c>
      <c r="H308">
        <f>'PSP Data'!H311</f>
        <v>0</v>
      </c>
      <c r="I308">
        <f>'PSP Data'!I311</f>
        <v>0</v>
      </c>
      <c r="J308" s="29" t="e">
        <f t="shared" si="20"/>
        <v>#N/A</v>
      </c>
      <c r="K308" s="29" t="e">
        <f>IF(AND((A308&lt;'PSP Data'!$C$11),(A308&lt;&gt;0)),Analysis!C308,#N/A)</f>
        <v>#N/A</v>
      </c>
      <c r="L308" t="e">
        <f>IF(VLOOKUP(B308,Table1[],4)=0,"unknown", VLOOKUP(B308,Table1[],4))</f>
        <v>#N/A</v>
      </c>
      <c r="M308">
        <v>1</v>
      </c>
      <c r="N308" t="e">
        <f t="shared" si="21"/>
        <v>#N/A</v>
      </c>
      <c r="O308" t="str">
        <f t="shared" si="22"/>
        <v/>
      </c>
      <c r="P308" t="str">
        <f t="shared" si="23"/>
        <v/>
      </c>
      <c r="Q308" t="str">
        <f t="shared" si="24"/>
        <v/>
      </c>
      <c r="R308">
        <v>1</v>
      </c>
    </row>
    <row r="309" spans="1:18">
      <c r="A309">
        <f>'PSP Data'!A312</f>
        <v>0</v>
      </c>
      <c r="B309" t="str">
        <f>IF('PSP Data'!B312=0,"",'PSP Data'!B312)</f>
        <v/>
      </c>
      <c r="C309">
        <f>'PSP Data'!C312</f>
        <v>0</v>
      </c>
      <c r="D309">
        <f>'PSP Data'!D312</f>
        <v>0</v>
      </c>
      <c r="E309">
        <f>'PSP Data'!E312</f>
        <v>0</v>
      </c>
      <c r="F309">
        <f>'PSP Data'!F312</f>
        <v>0</v>
      </c>
      <c r="G309">
        <f>'PSP Data'!G312</f>
        <v>0</v>
      </c>
      <c r="H309">
        <f>'PSP Data'!H312</f>
        <v>0</v>
      </c>
      <c r="I309">
        <f>'PSP Data'!I312</f>
        <v>0</v>
      </c>
      <c r="J309" s="29" t="e">
        <f t="shared" si="20"/>
        <v>#N/A</v>
      </c>
      <c r="K309" s="29" t="e">
        <f>IF(AND((A309&lt;'PSP Data'!$C$11),(A309&lt;&gt;0)),Analysis!C309,#N/A)</f>
        <v>#N/A</v>
      </c>
      <c r="L309" t="e">
        <f>IF(VLOOKUP(B309,Table1[],4)=0,"unknown", VLOOKUP(B309,Table1[],4))</f>
        <v>#N/A</v>
      </c>
      <c r="M309">
        <v>1</v>
      </c>
      <c r="N309" t="e">
        <f t="shared" si="21"/>
        <v>#N/A</v>
      </c>
      <c r="O309" t="str">
        <f t="shared" si="22"/>
        <v/>
      </c>
      <c r="P309" t="str">
        <f t="shared" si="23"/>
        <v/>
      </c>
      <c r="Q309" t="str">
        <f t="shared" si="24"/>
        <v/>
      </c>
      <c r="R309">
        <v>1</v>
      </c>
    </row>
    <row r="310" spans="1:18">
      <c r="A310">
        <f>'PSP Data'!A313</f>
        <v>0</v>
      </c>
      <c r="B310" t="str">
        <f>IF('PSP Data'!B313=0,"",'PSP Data'!B313)</f>
        <v/>
      </c>
      <c r="C310">
        <f>'PSP Data'!C313</f>
        <v>0</v>
      </c>
      <c r="D310">
        <f>'PSP Data'!D313</f>
        <v>0</v>
      </c>
      <c r="E310">
        <f>'PSP Data'!E313</f>
        <v>0</v>
      </c>
      <c r="F310">
        <f>'PSP Data'!F313</f>
        <v>0</v>
      </c>
      <c r="G310">
        <f>'PSP Data'!G313</f>
        <v>0</v>
      </c>
      <c r="H310">
        <f>'PSP Data'!H313</f>
        <v>0</v>
      </c>
      <c r="I310">
        <f>'PSP Data'!I313</f>
        <v>0</v>
      </c>
      <c r="J310" s="29" t="e">
        <f t="shared" si="20"/>
        <v>#N/A</v>
      </c>
      <c r="K310" s="29" t="e">
        <f>IF(AND((A310&lt;'PSP Data'!$C$11),(A310&lt;&gt;0)),Analysis!C310,#N/A)</f>
        <v>#N/A</v>
      </c>
      <c r="L310" t="e">
        <f>IF(VLOOKUP(B310,Table1[],4)=0,"unknown", VLOOKUP(B310,Table1[],4))</f>
        <v>#N/A</v>
      </c>
      <c r="M310">
        <v>1</v>
      </c>
      <c r="N310" t="e">
        <f t="shared" si="21"/>
        <v>#N/A</v>
      </c>
      <c r="O310" t="str">
        <f t="shared" si="22"/>
        <v/>
      </c>
      <c r="P310" t="str">
        <f t="shared" si="23"/>
        <v/>
      </c>
      <c r="Q310" t="str">
        <f t="shared" si="24"/>
        <v/>
      </c>
      <c r="R310">
        <v>1</v>
      </c>
    </row>
    <row r="311" spans="1:18">
      <c r="A311">
        <f>'PSP Data'!A314</f>
        <v>0</v>
      </c>
      <c r="B311" t="str">
        <f>IF('PSP Data'!B314=0,"",'PSP Data'!B314)</f>
        <v/>
      </c>
      <c r="C311">
        <f>'PSP Data'!C314</f>
        <v>0</v>
      </c>
      <c r="D311">
        <f>'PSP Data'!D314</f>
        <v>0</v>
      </c>
      <c r="E311">
        <f>'PSP Data'!E314</f>
        <v>0</v>
      </c>
      <c r="F311">
        <f>'PSP Data'!F314</f>
        <v>0</v>
      </c>
      <c r="G311">
        <f>'PSP Data'!G314</f>
        <v>0</v>
      </c>
      <c r="H311">
        <f>'PSP Data'!H314</f>
        <v>0</v>
      </c>
      <c r="I311">
        <f>'PSP Data'!I314</f>
        <v>0</v>
      </c>
      <c r="J311" s="29" t="e">
        <f t="shared" si="20"/>
        <v>#N/A</v>
      </c>
      <c r="K311" s="29" t="e">
        <f>IF(AND((A311&lt;'PSP Data'!$C$11),(A311&lt;&gt;0)),Analysis!C311,#N/A)</f>
        <v>#N/A</v>
      </c>
      <c r="L311" t="e">
        <f>IF(VLOOKUP(B311,Table1[],4)=0,"unknown", VLOOKUP(B311,Table1[],4))</f>
        <v>#N/A</v>
      </c>
      <c r="M311">
        <v>1</v>
      </c>
      <c r="N311" t="e">
        <f t="shared" si="21"/>
        <v>#N/A</v>
      </c>
      <c r="O311" t="str">
        <f t="shared" si="22"/>
        <v/>
      </c>
      <c r="P311" t="str">
        <f t="shared" si="23"/>
        <v/>
      </c>
      <c r="Q311" t="str">
        <f t="shared" si="24"/>
        <v/>
      </c>
      <c r="R311">
        <v>1</v>
      </c>
    </row>
    <row r="312" spans="1:18">
      <c r="A312">
        <f>'PSP Data'!A315</f>
        <v>0</v>
      </c>
      <c r="B312" t="str">
        <f>IF('PSP Data'!B315=0,"",'PSP Data'!B315)</f>
        <v/>
      </c>
      <c r="C312">
        <f>'PSP Data'!C315</f>
        <v>0</v>
      </c>
      <c r="D312">
        <f>'PSP Data'!D315</f>
        <v>0</v>
      </c>
      <c r="E312">
        <f>'PSP Data'!E315</f>
        <v>0</v>
      </c>
      <c r="F312">
        <f>'PSP Data'!F315</f>
        <v>0</v>
      </c>
      <c r="G312">
        <f>'PSP Data'!G315</f>
        <v>0</v>
      </c>
      <c r="H312">
        <f>'PSP Data'!H315</f>
        <v>0</v>
      </c>
      <c r="I312">
        <f>'PSP Data'!I315</f>
        <v>0</v>
      </c>
      <c r="J312" s="29" t="e">
        <f t="shared" si="20"/>
        <v>#N/A</v>
      </c>
      <c r="K312" s="29" t="e">
        <f>IF(AND((A312&lt;'PSP Data'!$C$11),(A312&lt;&gt;0)),Analysis!C312,#N/A)</f>
        <v>#N/A</v>
      </c>
      <c r="L312" t="e">
        <f>IF(VLOOKUP(B312,Table1[],4)=0,"unknown", VLOOKUP(B312,Table1[],4))</f>
        <v>#N/A</v>
      </c>
      <c r="M312">
        <v>1</v>
      </c>
      <c r="N312" t="e">
        <f t="shared" si="21"/>
        <v>#N/A</v>
      </c>
      <c r="O312" t="str">
        <f t="shared" si="22"/>
        <v/>
      </c>
      <c r="P312" t="str">
        <f t="shared" si="23"/>
        <v/>
      </c>
      <c r="Q312" t="str">
        <f t="shared" si="24"/>
        <v/>
      </c>
      <c r="R312">
        <v>1</v>
      </c>
    </row>
    <row r="313" spans="1:18">
      <c r="A313">
        <f>'PSP Data'!A316</f>
        <v>0</v>
      </c>
      <c r="B313" t="str">
        <f>IF('PSP Data'!B316=0,"",'PSP Data'!B316)</f>
        <v/>
      </c>
      <c r="C313">
        <f>'PSP Data'!C316</f>
        <v>0</v>
      </c>
      <c r="D313">
        <f>'PSP Data'!D316</f>
        <v>0</v>
      </c>
      <c r="E313">
        <f>'PSP Data'!E316</f>
        <v>0</v>
      </c>
      <c r="F313">
        <f>'PSP Data'!F316</f>
        <v>0</v>
      </c>
      <c r="G313">
        <f>'PSP Data'!G316</f>
        <v>0</v>
      </c>
      <c r="H313">
        <f>'PSP Data'!H316</f>
        <v>0</v>
      </c>
      <c r="I313">
        <f>'PSP Data'!I316</f>
        <v>0</v>
      </c>
      <c r="J313" s="29" t="e">
        <f t="shared" si="20"/>
        <v>#N/A</v>
      </c>
      <c r="K313" s="29" t="e">
        <f>IF(AND((A313&lt;'PSP Data'!$C$11),(A313&lt;&gt;0)),Analysis!C313,#N/A)</f>
        <v>#N/A</v>
      </c>
      <c r="L313" t="e">
        <f>IF(VLOOKUP(B313,Table1[],4)=0,"unknown", VLOOKUP(B313,Table1[],4))</f>
        <v>#N/A</v>
      </c>
      <c r="M313">
        <v>1</v>
      </c>
      <c r="N313" t="e">
        <f t="shared" si="21"/>
        <v>#N/A</v>
      </c>
      <c r="O313" t="str">
        <f t="shared" si="22"/>
        <v/>
      </c>
      <c r="P313" t="str">
        <f t="shared" si="23"/>
        <v/>
      </c>
      <c r="Q313" t="str">
        <f t="shared" si="24"/>
        <v/>
      </c>
      <c r="R313">
        <v>1</v>
      </c>
    </row>
    <row r="314" spans="1:18">
      <c r="A314">
        <f>'PSP Data'!A317</f>
        <v>0</v>
      </c>
      <c r="B314" t="str">
        <f>IF('PSP Data'!B317=0,"",'PSP Data'!B317)</f>
        <v/>
      </c>
      <c r="C314">
        <f>'PSP Data'!C317</f>
        <v>0</v>
      </c>
      <c r="D314">
        <f>'PSP Data'!D317</f>
        <v>0</v>
      </c>
      <c r="E314">
        <f>'PSP Data'!E317</f>
        <v>0</v>
      </c>
      <c r="F314">
        <f>'PSP Data'!F317</f>
        <v>0</v>
      </c>
      <c r="G314">
        <f>'PSP Data'!G317</f>
        <v>0</v>
      </c>
      <c r="H314">
        <f>'PSP Data'!H317</f>
        <v>0</v>
      </c>
      <c r="I314">
        <f>'PSP Data'!I317</f>
        <v>0</v>
      </c>
      <c r="J314" s="29" t="e">
        <f t="shared" si="20"/>
        <v>#N/A</v>
      </c>
      <c r="K314" s="29" t="e">
        <f>IF(AND((A314&lt;'PSP Data'!$C$11),(A314&lt;&gt;0)),Analysis!C314,#N/A)</f>
        <v>#N/A</v>
      </c>
      <c r="L314" t="e">
        <f>IF(VLOOKUP(B314,Table1[],4)=0,"unknown", VLOOKUP(B314,Table1[],4))</f>
        <v>#N/A</v>
      </c>
      <c r="M314">
        <v>1</v>
      </c>
      <c r="N314" t="e">
        <f t="shared" si="21"/>
        <v>#N/A</v>
      </c>
      <c r="O314" t="str">
        <f t="shared" si="22"/>
        <v/>
      </c>
      <c r="P314" t="str">
        <f t="shared" si="23"/>
        <v/>
      </c>
      <c r="Q314" t="str">
        <f t="shared" si="24"/>
        <v/>
      </c>
      <c r="R314">
        <v>1</v>
      </c>
    </row>
    <row r="315" spans="1:18">
      <c r="A315">
        <f>'PSP Data'!A318</f>
        <v>0</v>
      </c>
      <c r="B315" t="str">
        <f>IF('PSP Data'!B318=0,"",'PSP Data'!B318)</f>
        <v/>
      </c>
      <c r="C315">
        <f>'PSP Data'!C318</f>
        <v>0</v>
      </c>
      <c r="D315">
        <f>'PSP Data'!D318</f>
        <v>0</v>
      </c>
      <c r="E315">
        <f>'PSP Data'!E318</f>
        <v>0</v>
      </c>
      <c r="F315">
        <f>'PSP Data'!F318</f>
        <v>0</v>
      </c>
      <c r="G315">
        <f>'PSP Data'!G318</f>
        <v>0</v>
      </c>
      <c r="H315">
        <f>'PSP Data'!H318</f>
        <v>0</v>
      </c>
      <c r="I315">
        <f>'PSP Data'!I318</f>
        <v>0</v>
      </c>
      <c r="J315" s="29" t="e">
        <f t="shared" si="20"/>
        <v>#N/A</v>
      </c>
      <c r="K315" s="29" t="e">
        <f>IF(AND((A315&lt;'PSP Data'!$C$11),(A315&lt;&gt;0)),Analysis!C315,#N/A)</f>
        <v>#N/A</v>
      </c>
      <c r="L315" t="e">
        <f>IF(VLOOKUP(B315,Table1[],4)=0,"unknown", VLOOKUP(B315,Table1[],4))</f>
        <v>#N/A</v>
      </c>
      <c r="M315">
        <v>1</v>
      </c>
      <c r="N315" t="e">
        <f t="shared" si="21"/>
        <v>#N/A</v>
      </c>
      <c r="O315" t="str">
        <f t="shared" si="22"/>
        <v/>
      </c>
      <c r="P315" t="str">
        <f t="shared" si="23"/>
        <v/>
      </c>
      <c r="Q315" t="str">
        <f t="shared" si="24"/>
        <v/>
      </c>
      <c r="R315">
        <v>1</v>
      </c>
    </row>
    <row r="316" spans="1:18">
      <c r="A316">
        <f>'PSP Data'!A319</f>
        <v>0</v>
      </c>
      <c r="B316" t="str">
        <f>IF('PSP Data'!B319=0,"",'PSP Data'!B319)</f>
        <v/>
      </c>
      <c r="C316">
        <f>'PSP Data'!C319</f>
        <v>0</v>
      </c>
      <c r="D316">
        <f>'PSP Data'!D319</f>
        <v>0</v>
      </c>
      <c r="E316">
        <f>'PSP Data'!E319</f>
        <v>0</v>
      </c>
      <c r="F316">
        <f>'PSP Data'!F319</f>
        <v>0</v>
      </c>
      <c r="G316">
        <f>'PSP Data'!G319</f>
        <v>0</v>
      </c>
      <c r="H316">
        <f>'PSP Data'!H319</f>
        <v>0</v>
      </c>
      <c r="I316">
        <f>'PSP Data'!I319</f>
        <v>0</v>
      </c>
      <c r="J316" s="29" t="e">
        <f t="shared" si="20"/>
        <v>#N/A</v>
      </c>
      <c r="K316" s="29" t="e">
        <f>IF(AND((A316&lt;'PSP Data'!$C$11),(A316&lt;&gt;0)),Analysis!C316,#N/A)</f>
        <v>#N/A</v>
      </c>
      <c r="L316" t="e">
        <f>IF(VLOOKUP(B316,Table1[],4)=0,"unknown", VLOOKUP(B316,Table1[],4))</f>
        <v>#N/A</v>
      </c>
      <c r="M316">
        <v>1</v>
      </c>
      <c r="N316" t="e">
        <f t="shared" si="21"/>
        <v>#N/A</v>
      </c>
      <c r="O316" t="str">
        <f t="shared" si="22"/>
        <v/>
      </c>
      <c r="P316" t="str">
        <f t="shared" si="23"/>
        <v/>
      </c>
      <c r="Q316" t="str">
        <f t="shared" si="24"/>
        <v/>
      </c>
      <c r="R316">
        <v>1</v>
      </c>
    </row>
    <row r="317" spans="1:18">
      <c r="A317">
        <f>'PSP Data'!A320</f>
        <v>0</v>
      </c>
      <c r="B317" t="str">
        <f>IF('PSP Data'!B320=0,"",'PSP Data'!B320)</f>
        <v/>
      </c>
      <c r="C317">
        <f>'PSP Data'!C320</f>
        <v>0</v>
      </c>
      <c r="D317">
        <f>'PSP Data'!D320</f>
        <v>0</v>
      </c>
      <c r="E317">
        <f>'PSP Data'!E320</f>
        <v>0</v>
      </c>
      <c r="F317">
        <f>'PSP Data'!F320</f>
        <v>0</v>
      </c>
      <c r="G317">
        <f>'PSP Data'!G320</f>
        <v>0</v>
      </c>
      <c r="H317">
        <f>'PSP Data'!H320</f>
        <v>0</v>
      </c>
      <c r="I317">
        <f>'PSP Data'!I320</f>
        <v>0</v>
      </c>
      <c r="J317" s="29" t="e">
        <f t="shared" si="20"/>
        <v>#N/A</v>
      </c>
      <c r="K317" s="29" t="e">
        <f>IF(AND((A317&lt;'PSP Data'!$C$11),(A317&lt;&gt;0)),Analysis!C317,#N/A)</f>
        <v>#N/A</v>
      </c>
      <c r="L317" t="e">
        <f>IF(VLOOKUP(B317,Table1[],4)=0,"unknown", VLOOKUP(B317,Table1[],4))</f>
        <v>#N/A</v>
      </c>
      <c r="M317">
        <v>1</v>
      </c>
      <c r="N317" t="e">
        <f t="shared" si="21"/>
        <v>#N/A</v>
      </c>
      <c r="O317" t="str">
        <f t="shared" si="22"/>
        <v/>
      </c>
      <c r="P317" t="str">
        <f t="shared" si="23"/>
        <v/>
      </c>
      <c r="Q317" t="str">
        <f t="shared" si="24"/>
        <v/>
      </c>
      <c r="R317">
        <v>1</v>
      </c>
    </row>
    <row r="318" spans="1:18">
      <c r="A318">
        <f>'PSP Data'!A321</f>
        <v>0</v>
      </c>
      <c r="B318" t="str">
        <f>IF('PSP Data'!B321=0,"",'PSP Data'!B321)</f>
        <v/>
      </c>
      <c r="C318">
        <f>'PSP Data'!C321</f>
        <v>0</v>
      </c>
      <c r="D318">
        <f>'PSP Data'!D321</f>
        <v>0</v>
      </c>
      <c r="E318">
        <f>'PSP Data'!E321</f>
        <v>0</v>
      </c>
      <c r="F318">
        <f>'PSP Data'!F321</f>
        <v>0</v>
      </c>
      <c r="G318">
        <f>'PSP Data'!G321</f>
        <v>0</v>
      </c>
      <c r="H318">
        <f>'PSP Data'!H321</f>
        <v>0</v>
      </c>
      <c r="I318">
        <f>'PSP Data'!I321</f>
        <v>0</v>
      </c>
      <c r="J318" s="29" t="e">
        <f t="shared" si="20"/>
        <v>#N/A</v>
      </c>
      <c r="K318" s="29" t="e">
        <f>IF(AND((A318&lt;'PSP Data'!$C$11),(A318&lt;&gt;0)),Analysis!C318,#N/A)</f>
        <v>#N/A</v>
      </c>
      <c r="L318" t="e">
        <f>IF(VLOOKUP(B318,Table1[],4)=0,"unknown", VLOOKUP(B318,Table1[],4))</f>
        <v>#N/A</v>
      </c>
      <c r="M318">
        <v>1</v>
      </c>
      <c r="N318" t="e">
        <f t="shared" si="21"/>
        <v>#N/A</v>
      </c>
      <c r="O318" t="str">
        <f t="shared" si="22"/>
        <v/>
      </c>
      <c r="P318" t="str">
        <f t="shared" si="23"/>
        <v/>
      </c>
      <c r="Q318" t="str">
        <f t="shared" si="24"/>
        <v/>
      </c>
      <c r="R318">
        <v>1</v>
      </c>
    </row>
    <row r="319" spans="1:18">
      <c r="A319">
        <f>'PSP Data'!A322</f>
        <v>0</v>
      </c>
      <c r="B319" t="str">
        <f>IF('PSP Data'!B322=0,"",'PSP Data'!B322)</f>
        <v/>
      </c>
      <c r="C319">
        <f>'PSP Data'!C322</f>
        <v>0</v>
      </c>
      <c r="D319">
        <f>'PSP Data'!D322</f>
        <v>0</v>
      </c>
      <c r="E319">
        <f>'PSP Data'!E322</f>
        <v>0</v>
      </c>
      <c r="F319">
        <f>'PSP Data'!F322</f>
        <v>0</v>
      </c>
      <c r="G319">
        <f>'PSP Data'!G322</f>
        <v>0</v>
      </c>
      <c r="H319">
        <f>'PSP Data'!H322</f>
        <v>0</v>
      </c>
      <c r="I319">
        <f>'PSP Data'!I322</f>
        <v>0</v>
      </c>
      <c r="J319" s="29" t="e">
        <f t="shared" si="20"/>
        <v>#N/A</v>
      </c>
      <c r="K319" s="29" t="e">
        <f>IF(AND((A319&lt;'PSP Data'!$C$11),(A319&lt;&gt;0)),Analysis!C319,#N/A)</f>
        <v>#N/A</v>
      </c>
      <c r="L319" t="e">
        <f>IF(VLOOKUP(B319,Table1[],4)=0,"unknown", VLOOKUP(B319,Table1[],4))</f>
        <v>#N/A</v>
      </c>
      <c r="M319">
        <v>1</v>
      </c>
      <c r="N319" t="e">
        <f t="shared" si="21"/>
        <v>#N/A</v>
      </c>
      <c r="O319" t="str">
        <f t="shared" si="22"/>
        <v/>
      </c>
      <c r="P319" t="str">
        <f t="shared" si="23"/>
        <v/>
      </c>
      <c r="Q319" t="str">
        <f t="shared" si="24"/>
        <v/>
      </c>
      <c r="R319">
        <v>1</v>
      </c>
    </row>
    <row r="320" spans="1:18">
      <c r="A320">
        <f>'PSP Data'!A323</f>
        <v>0</v>
      </c>
      <c r="B320" t="str">
        <f>IF('PSP Data'!B323=0,"",'PSP Data'!B323)</f>
        <v/>
      </c>
      <c r="C320">
        <f>'PSP Data'!C323</f>
        <v>0</v>
      </c>
      <c r="D320">
        <f>'PSP Data'!D323</f>
        <v>0</v>
      </c>
      <c r="E320">
        <f>'PSP Data'!E323</f>
        <v>0</v>
      </c>
      <c r="F320">
        <f>'PSP Data'!F323</f>
        <v>0</v>
      </c>
      <c r="G320">
        <f>'PSP Data'!G323</f>
        <v>0</v>
      </c>
      <c r="H320">
        <f>'PSP Data'!H323</f>
        <v>0</v>
      </c>
      <c r="I320">
        <f>'PSP Data'!I323</f>
        <v>0</v>
      </c>
      <c r="J320" s="29" t="e">
        <f t="shared" si="20"/>
        <v>#N/A</v>
      </c>
      <c r="K320" s="29" t="e">
        <f>IF(AND((A320&lt;'PSP Data'!$C$11),(A320&lt;&gt;0)),Analysis!C320,#N/A)</f>
        <v>#N/A</v>
      </c>
      <c r="L320" t="e">
        <f>IF(VLOOKUP(B320,Table1[],4)=0,"unknown", VLOOKUP(B320,Table1[],4))</f>
        <v>#N/A</v>
      </c>
      <c r="M320">
        <v>1</v>
      </c>
      <c r="N320" t="e">
        <f t="shared" si="21"/>
        <v>#N/A</v>
      </c>
      <c r="O320" t="str">
        <f t="shared" si="22"/>
        <v/>
      </c>
      <c r="P320" t="str">
        <f t="shared" si="23"/>
        <v/>
      </c>
      <c r="Q320" t="str">
        <f t="shared" si="24"/>
        <v/>
      </c>
      <c r="R320">
        <v>1</v>
      </c>
    </row>
    <row r="321" spans="1:18">
      <c r="A321">
        <f>'PSP Data'!A324</f>
        <v>0</v>
      </c>
      <c r="B321" t="str">
        <f>IF('PSP Data'!B324=0,"",'PSP Data'!B324)</f>
        <v/>
      </c>
      <c r="C321">
        <f>'PSP Data'!C324</f>
        <v>0</v>
      </c>
      <c r="D321">
        <f>'PSP Data'!D324</f>
        <v>0</v>
      </c>
      <c r="E321">
        <f>'PSP Data'!E324</f>
        <v>0</v>
      </c>
      <c r="F321">
        <f>'PSP Data'!F324</f>
        <v>0</v>
      </c>
      <c r="G321">
        <f>'PSP Data'!G324</f>
        <v>0</v>
      </c>
      <c r="H321">
        <f>'PSP Data'!H324</f>
        <v>0</v>
      </c>
      <c r="I321">
        <f>'PSP Data'!I324</f>
        <v>0</v>
      </c>
      <c r="J321" s="29" t="e">
        <f t="shared" si="20"/>
        <v>#N/A</v>
      </c>
      <c r="K321" s="29" t="e">
        <f>IF(AND((A321&lt;'PSP Data'!$C$11),(A321&lt;&gt;0)),Analysis!C321,#N/A)</f>
        <v>#N/A</v>
      </c>
      <c r="L321" t="e">
        <f>IF(VLOOKUP(B321,Table1[],4)=0,"unknown", VLOOKUP(B321,Table1[],4))</f>
        <v>#N/A</v>
      </c>
      <c r="M321">
        <v>1</v>
      </c>
      <c r="N321" t="e">
        <f t="shared" si="21"/>
        <v>#N/A</v>
      </c>
      <c r="O321" t="str">
        <f t="shared" si="22"/>
        <v/>
      </c>
      <c r="P321" t="str">
        <f t="shared" si="23"/>
        <v/>
      </c>
      <c r="Q321" t="str">
        <f t="shared" si="24"/>
        <v/>
      </c>
      <c r="R321">
        <v>1</v>
      </c>
    </row>
    <row r="322" spans="1:18">
      <c r="A322">
        <f>'PSP Data'!A325</f>
        <v>0</v>
      </c>
      <c r="B322" t="str">
        <f>IF('PSP Data'!B325=0,"",'PSP Data'!B325)</f>
        <v/>
      </c>
      <c r="C322">
        <f>'PSP Data'!C325</f>
        <v>0</v>
      </c>
      <c r="D322">
        <f>'PSP Data'!D325</f>
        <v>0</v>
      </c>
      <c r="E322">
        <f>'PSP Data'!E325</f>
        <v>0</v>
      </c>
      <c r="F322">
        <f>'PSP Data'!F325</f>
        <v>0</v>
      </c>
      <c r="G322">
        <f>'PSP Data'!G325</f>
        <v>0</v>
      </c>
      <c r="H322">
        <f>'PSP Data'!H325</f>
        <v>0</v>
      </c>
      <c r="I322">
        <f>'PSP Data'!I325</f>
        <v>0</v>
      </c>
      <c r="J322" s="29" t="e">
        <f t="shared" si="20"/>
        <v>#N/A</v>
      </c>
      <c r="K322" s="29" t="e">
        <f>IF(AND((A322&lt;'PSP Data'!$C$11),(A322&lt;&gt;0)),Analysis!C322,#N/A)</f>
        <v>#N/A</v>
      </c>
      <c r="L322" t="e">
        <f>IF(VLOOKUP(B322,Table1[],4)=0,"unknown", VLOOKUP(B322,Table1[],4))</f>
        <v>#N/A</v>
      </c>
      <c r="M322">
        <v>1</v>
      </c>
      <c r="N322" t="e">
        <f t="shared" si="21"/>
        <v>#N/A</v>
      </c>
      <c r="O322" t="str">
        <f t="shared" si="22"/>
        <v/>
      </c>
      <c r="P322" t="str">
        <f t="shared" si="23"/>
        <v/>
      </c>
      <c r="Q322" t="str">
        <f t="shared" si="24"/>
        <v/>
      </c>
      <c r="R322">
        <v>1</v>
      </c>
    </row>
    <row r="323" spans="1:18">
      <c r="A323">
        <f>'PSP Data'!A326</f>
        <v>0</v>
      </c>
      <c r="B323" t="str">
        <f>IF('PSP Data'!B326=0,"",'PSP Data'!B326)</f>
        <v/>
      </c>
      <c r="C323">
        <f>'PSP Data'!C326</f>
        <v>0</v>
      </c>
      <c r="D323">
        <f>'PSP Data'!D326</f>
        <v>0</v>
      </c>
      <c r="E323">
        <f>'PSP Data'!E326</f>
        <v>0</v>
      </c>
      <c r="F323">
        <f>'PSP Data'!F326</f>
        <v>0</v>
      </c>
      <c r="G323">
        <f>'PSP Data'!G326</f>
        <v>0</v>
      </c>
      <c r="H323">
        <f>'PSP Data'!H326</f>
        <v>0</v>
      </c>
      <c r="I323">
        <f>'PSP Data'!I326</f>
        <v>0</v>
      </c>
      <c r="J323" s="29" t="e">
        <f t="shared" si="20"/>
        <v>#N/A</v>
      </c>
      <c r="K323" s="29" t="e">
        <f>IF(AND((A323&lt;'PSP Data'!$C$11),(A323&lt;&gt;0)),Analysis!C323,#N/A)</f>
        <v>#N/A</v>
      </c>
      <c r="L323" t="e">
        <f>IF(VLOOKUP(B323,Table1[],4)=0,"unknown", VLOOKUP(B323,Table1[],4))</f>
        <v>#N/A</v>
      </c>
      <c r="M323">
        <v>1</v>
      </c>
      <c r="N323" t="e">
        <f t="shared" si="21"/>
        <v>#N/A</v>
      </c>
      <c r="O323" t="str">
        <f t="shared" si="22"/>
        <v/>
      </c>
      <c r="P323" t="str">
        <f t="shared" si="23"/>
        <v/>
      </c>
      <c r="Q323" t="str">
        <f t="shared" si="24"/>
        <v/>
      </c>
      <c r="R323">
        <v>1</v>
      </c>
    </row>
    <row r="324" spans="1:18">
      <c r="A324">
        <f>'PSP Data'!A327</f>
        <v>0</v>
      </c>
      <c r="B324" t="str">
        <f>IF('PSP Data'!B327=0,"",'PSP Data'!B327)</f>
        <v/>
      </c>
      <c r="C324">
        <f>'PSP Data'!C327</f>
        <v>0</v>
      </c>
      <c r="D324">
        <f>'PSP Data'!D327</f>
        <v>0</v>
      </c>
      <c r="E324">
        <f>'PSP Data'!E327</f>
        <v>0</v>
      </c>
      <c r="F324">
        <f>'PSP Data'!F327</f>
        <v>0</v>
      </c>
      <c r="G324">
        <f>'PSP Data'!G327</f>
        <v>0</v>
      </c>
      <c r="H324">
        <f>'PSP Data'!H327</f>
        <v>0</v>
      </c>
      <c r="I324">
        <f>'PSP Data'!I327</f>
        <v>0</v>
      </c>
      <c r="J324" s="29" t="e">
        <f t="shared" si="20"/>
        <v>#N/A</v>
      </c>
      <c r="K324" s="29" t="e">
        <f>IF(AND((A324&lt;'PSP Data'!$C$11),(A324&lt;&gt;0)),Analysis!C324,#N/A)</f>
        <v>#N/A</v>
      </c>
      <c r="L324" t="e">
        <f>IF(VLOOKUP(B324,Table1[],4)=0,"unknown", VLOOKUP(B324,Table1[],4))</f>
        <v>#N/A</v>
      </c>
      <c r="M324">
        <v>1</v>
      </c>
      <c r="N324" t="e">
        <f t="shared" si="21"/>
        <v>#N/A</v>
      </c>
      <c r="O324" t="str">
        <f t="shared" si="22"/>
        <v/>
      </c>
      <c r="P324" t="str">
        <f t="shared" si="23"/>
        <v/>
      </c>
      <c r="Q324" t="str">
        <f t="shared" si="24"/>
        <v/>
      </c>
      <c r="R324">
        <v>1</v>
      </c>
    </row>
    <row r="325" spans="1:18">
      <c r="A325">
        <f>'PSP Data'!A328</f>
        <v>0</v>
      </c>
      <c r="B325" t="str">
        <f>IF('PSP Data'!B328=0,"",'PSP Data'!B328)</f>
        <v/>
      </c>
      <c r="C325">
        <f>'PSP Data'!C328</f>
        <v>0</v>
      </c>
      <c r="D325">
        <f>'PSP Data'!D328</f>
        <v>0</v>
      </c>
      <c r="E325">
        <f>'PSP Data'!E328</f>
        <v>0</v>
      </c>
      <c r="F325">
        <f>'PSP Data'!F328</f>
        <v>0</v>
      </c>
      <c r="G325">
        <f>'PSP Data'!G328</f>
        <v>0</v>
      </c>
      <c r="H325">
        <f>'PSP Data'!H328</f>
        <v>0</v>
      </c>
      <c r="I325">
        <f>'PSP Data'!I328</f>
        <v>0</v>
      </c>
      <c r="J325" s="29" t="e">
        <f t="shared" si="20"/>
        <v>#N/A</v>
      </c>
      <c r="K325" s="29" t="e">
        <f>IF(AND((A325&lt;'PSP Data'!$C$11),(A325&lt;&gt;0)),Analysis!C325,#N/A)</f>
        <v>#N/A</v>
      </c>
      <c r="L325" t="e">
        <f>IF(VLOOKUP(B325,Table1[],4)=0,"unknown", VLOOKUP(B325,Table1[],4))</f>
        <v>#N/A</v>
      </c>
      <c r="M325">
        <v>1</v>
      </c>
      <c r="N325" t="e">
        <f t="shared" si="21"/>
        <v>#N/A</v>
      </c>
      <c r="O325" t="str">
        <f t="shared" si="22"/>
        <v/>
      </c>
      <c r="P325" t="str">
        <f t="shared" si="23"/>
        <v/>
      </c>
      <c r="Q325" t="str">
        <f t="shared" si="24"/>
        <v/>
      </c>
      <c r="R325">
        <v>1</v>
      </c>
    </row>
    <row r="326" spans="1:18">
      <c r="A326">
        <f>'PSP Data'!A329</f>
        <v>0</v>
      </c>
      <c r="B326" t="str">
        <f>IF('PSP Data'!B329=0,"",'PSP Data'!B329)</f>
        <v/>
      </c>
      <c r="C326">
        <f>'PSP Data'!C329</f>
        <v>0</v>
      </c>
      <c r="D326">
        <f>'PSP Data'!D329</f>
        <v>0</v>
      </c>
      <c r="E326">
        <f>'PSP Data'!E329</f>
        <v>0</v>
      </c>
      <c r="F326">
        <f>'PSP Data'!F329</f>
        <v>0</v>
      </c>
      <c r="G326">
        <f>'PSP Data'!G329</f>
        <v>0</v>
      </c>
      <c r="H326">
        <f>'PSP Data'!H329</f>
        <v>0</v>
      </c>
      <c r="I326">
        <f>'PSP Data'!I329</f>
        <v>0</v>
      </c>
      <c r="J326" s="29" t="e">
        <f t="shared" si="20"/>
        <v>#N/A</v>
      </c>
      <c r="K326" s="29" t="e">
        <f>IF(AND((A326&lt;'PSP Data'!$C$11),(A326&lt;&gt;0)),Analysis!C326,#N/A)</f>
        <v>#N/A</v>
      </c>
      <c r="L326" t="e">
        <f>IF(VLOOKUP(B326,Table1[],4)=0,"unknown", VLOOKUP(B326,Table1[],4))</f>
        <v>#N/A</v>
      </c>
      <c r="M326">
        <v>1</v>
      </c>
      <c r="N326" t="e">
        <f t="shared" si="21"/>
        <v>#N/A</v>
      </c>
      <c r="O326" t="str">
        <f t="shared" si="22"/>
        <v/>
      </c>
      <c r="P326" t="str">
        <f t="shared" si="23"/>
        <v/>
      </c>
      <c r="Q326" t="str">
        <f t="shared" si="24"/>
        <v/>
      </c>
      <c r="R326">
        <v>1</v>
      </c>
    </row>
    <row r="327" spans="1:18">
      <c r="A327">
        <f>'PSP Data'!A330</f>
        <v>0</v>
      </c>
      <c r="B327" t="str">
        <f>IF('PSP Data'!B330=0,"",'PSP Data'!B330)</f>
        <v/>
      </c>
      <c r="C327">
        <f>'PSP Data'!C330</f>
        <v>0</v>
      </c>
      <c r="D327">
        <f>'PSP Data'!D330</f>
        <v>0</v>
      </c>
      <c r="E327">
        <f>'PSP Data'!E330</f>
        <v>0</v>
      </c>
      <c r="F327">
        <f>'PSP Data'!F330</f>
        <v>0</v>
      </c>
      <c r="G327">
        <f>'PSP Data'!G330</f>
        <v>0</v>
      </c>
      <c r="H327">
        <f>'PSP Data'!H330</f>
        <v>0</v>
      </c>
      <c r="I327">
        <f>'PSP Data'!I330</f>
        <v>0</v>
      </c>
      <c r="J327" s="29" t="e">
        <f t="shared" si="20"/>
        <v>#N/A</v>
      </c>
      <c r="K327" s="29" t="e">
        <f>IF(AND((A327&lt;'PSP Data'!$C$11),(A327&lt;&gt;0)),Analysis!C327,#N/A)</f>
        <v>#N/A</v>
      </c>
      <c r="L327" t="e">
        <f>IF(VLOOKUP(B327,Table1[],4)=0,"unknown", VLOOKUP(B327,Table1[],4))</f>
        <v>#N/A</v>
      </c>
      <c r="M327">
        <v>1</v>
      </c>
      <c r="N327" t="e">
        <f t="shared" si="21"/>
        <v>#N/A</v>
      </c>
      <c r="O327" t="str">
        <f t="shared" si="22"/>
        <v/>
      </c>
      <c r="P327" t="str">
        <f t="shared" si="23"/>
        <v/>
      </c>
      <c r="Q327" t="str">
        <f t="shared" si="24"/>
        <v/>
      </c>
      <c r="R327">
        <v>1</v>
      </c>
    </row>
    <row r="328" spans="1:18">
      <c r="A328">
        <f>'PSP Data'!A331</f>
        <v>0</v>
      </c>
      <c r="B328" t="str">
        <f>IF('PSP Data'!B331=0,"",'PSP Data'!B331)</f>
        <v/>
      </c>
      <c r="C328">
        <f>'PSP Data'!C331</f>
        <v>0</v>
      </c>
      <c r="D328">
        <f>'PSP Data'!D331</f>
        <v>0</v>
      </c>
      <c r="E328">
        <f>'PSP Data'!E331</f>
        <v>0</v>
      </c>
      <c r="F328">
        <f>'PSP Data'!F331</f>
        <v>0</v>
      </c>
      <c r="G328">
        <f>'PSP Data'!G331</f>
        <v>0</v>
      </c>
      <c r="H328">
        <f>'PSP Data'!H331</f>
        <v>0</v>
      </c>
      <c r="I328">
        <f>'PSP Data'!I331</f>
        <v>0</v>
      </c>
      <c r="J328" s="29" t="e">
        <f t="shared" si="20"/>
        <v>#N/A</v>
      </c>
      <c r="K328" s="29" t="e">
        <f>IF(AND((A328&lt;'PSP Data'!$C$11),(A328&lt;&gt;0)),Analysis!C328,#N/A)</f>
        <v>#N/A</v>
      </c>
      <c r="L328" t="e">
        <f>IF(VLOOKUP(B328,Table1[],4)=0,"unknown", VLOOKUP(B328,Table1[],4))</f>
        <v>#N/A</v>
      </c>
      <c r="M328">
        <v>1</v>
      </c>
      <c r="N328" t="e">
        <f t="shared" si="21"/>
        <v>#N/A</v>
      </c>
      <c r="O328" t="str">
        <f t="shared" si="22"/>
        <v/>
      </c>
      <c r="P328" t="str">
        <f t="shared" si="23"/>
        <v/>
      </c>
      <c r="Q328" t="str">
        <f t="shared" si="24"/>
        <v/>
      </c>
      <c r="R328">
        <v>1</v>
      </c>
    </row>
    <row r="329" spans="1:18">
      <c r="A329">
        <f>'PSP Data'!A332</f>
        <v>0</v>
      </c>
      <c r="B329" t="str">
        <f>IF('PSP Data'!B332=0,"",'PSP Data'!B332)</f>
        <v/>
      </c>
      <c r="C329">
        <f>'PSP Data'!C332</f>
        <v>0</v>
      </c>
      <c r="D329">
        <f>'PSP Data'!D332</f>
        <v>0</v>
      </c>
      <c r="E329">
        <f>'PSP Data'!E332</f>
        <v>0</v>
      </c>
      <c r="F329">
        <f>'PSP Data'!F332</f>
        <v>0</v>
      </c>
      <c r="G329">
        <f>'PSP Data'!G332</f>
        <v>0</v>
      </c>
      <c r="H329">
        <f>'PSP Data'!H332</f>
        <v>0</v>
      </c>
      <c r="I329">
        <f>'PSP Data'!I332</f>
        <v>0</v>
      </c>
      <c r="J329" s="29" t="e">
        <f t="shared" si="20"/>
        <v>#N/A</v>
      </c>
      <c r="K329" s="29" t="e">
        <f>IF(AND((A329&lt;'PSP Data'!$C$11),(A329&lt;&gt;0)),Analysis!C329,#N/A)</f>
        <v>#N/A</v>
      </c>
      <c r="L329" t="e">
        <f>IF(VLOOKUP(B329,Table1[],4)=0,"unknown", VLOOKUP(B329,Table1[],4))</f>
        <v>#N/A</v>
      </c>
      <c r="M329">
        <v>1</v>
      </c>
      <c r="N329" t="e">
        <f t="shared" si="21"/>
        <v>#N/A</v>
      </c>
      <c r="O329" t="str">
        <f t="shared" si="22"/>
        <v/>
      </c>
      <c r="P329" t="str">
        <f t="shared" si="23"/>
        <v/>
      </c>
      <c r="Q329" t="str">
        <f t="shared" si="24"/>
        <v/>
      </c>
      <c r="R329">
        <v>1</v>
      </c>
    </row>
    <row r="330" spans="1:18">
      <c r="A330">
        <f>'PSP Data'!A333</f>
        <v>0</v>
      </c>
      <c r="B330" t="str">
        <f>IF('PSP Data'!B333=0,"",'PSP Data'!B333)</f>
        <v/>
      </c>
      <c r="C330">
        <f>'PSP Data'!C333</f>
        <v>0</v>
      </c>
      <c r="D330">
        <f>'PSP Data'!D333</f>
        <v>0</v>
      </c>
      <c r="E330">
        <f>'PSP Data'!E333</f>
        <v>0</v>
      </c>
      <c r="F330">
        <f>'PSP Data'!F333</f>
        <v>0</v>
      </c>
      <c r="G330">
        <f>'PSP Data'!G333</f>
        <v>0</v>
      </c>
      <c r="H330">
        <f>'PSP Data'!H333</f>
        <v>0</v>
      </c>
      <c r="I330">
        <f>'PSP Data'!I333</f>
        <v>0</v>
      </c>
      <c r="J330" s="29" t="e">
        <f t="shared" si="20"/>
        <v>#N/A</v>
      </c>
      <c r="K330" s="29" t="e">
        <f>IF(AND((A330&lt;'PSP Data'!$C$11),(A330&lt;&gt;0)),Analysis!C330,#N/A)</f>
        <v>#N/A</v>
      </c>
      <c r="L330" t="e">
        <f>IF(VLOOKUP(B330,Table1[],4)=0,"unknown", VLOOKUP(B330,Table1[],4))</f>
        <v>#N/A</v>
      </c>
      <c r="M330">
        <v>1</v>
      </c>
      <c r="N330" t="e">
        <f t="shared" si="21"/>
        <v>#N/A</v>
      </c>
      <c r="O330" t="str">
        <f t="shared" si="22"/>
        <v/>
      </c>
      <c r="P330" t="str">
        <f t="shared" si="23"/>
        <v/>
      </c>
      <c r="Q330" t="str">
        <f t="shared" si="24"/>
        <v/>
      </c>
      <c r="R330">
        <v>1</v>
      </c>
    </row>
    <row r="331" spans="1:18">
      <c r="A331">
        <f>'PSP Data'!A334</f>
        <v>0</v>
      </c>
      <c r="B331" t="str">
        <f>IF('PSP Data'!B334=0,"",'PSP Data'!B334)</f>
        <v/>
      </c>
      <c r="C331">
        <f>'PSP Data'!C334</f>
        <v>0</v>
      </c>
      <c r="D331">
        <f>'PSP Data'!D334</f>
        <v>0</v>
      </c>
      <c r="E331">
        <f>'PSP Data'!E334</f>
        <v>0</v>
      </c>
      <c r="F331">
        <f>'PSP Data'!F334</f>
        <v>0</v>
      </c>
      <c r="G331">
        <f>'PSP Data'!G334</f>
        <v>0</v>
      </c>
      <c r="H331">
        <f>'PSP Data'!H334</f>
        <v>0</v>
      </c>
      <c r="I331">
        <f>'PSP Data'!I334</f>
        <v>0</v>
      </c>
      <c r="J331" s="29" t="e">
        <f t="shared" si="20"/>
        <v>#N/A</v>
      </c>
      <c r="K331" s="29" t="e">
        <f>IF(AND((A331&lt;'PSP Data'!$C$11),(A331&lt;&gt;0)),Analysis!C331,#N/A)</f>
        <v>#N/A</v>
      </c>
      <c r="L331" t="e">
        <f>IF(VLOOKUP(B331,Table1[],4)=0,"unknown", VLOOKUP(B331,Table1[],4))</f>
        <v>#N/A</v>
      </c>
      <c r="M331">
        <v>1</v>
      </c>
      <c r="N331" t="e">
        <f t="shared" si="21"/>
        <v>#N/A</v>
      </c>
      <c r="O331" t="str">
        <f t="shared" si="22"/>
        <v/>
      </c>
      <c r="P331" t="str">
        <f t="shared" si="23"/>
        <v/>
      </c>
      <c r="Q331" t="str">
        <f t="shared" si="24"/>
        <v/>
      </c>
      <c r="R331">
        <v>1</v>
      </c>
    </row>
    <row r="332" spans="1:18">
      <c r="A332">
        <f>'PSP Data'!A335</f>
        <v>0</v>
      </c>
      <c r="B332" t="str">
        <f>IF('PSP Data'!B335=0,"",'PSP Data'!B335)</f>
        <v/>
      </c>
      <c r="C332">
        <f>'PSP Data'!C335</f>
        <v>0</v>
      </c>
      <c r="D332">
        <f>'PSP Data'!D335</f>
        <v>0</v>
      </c>
      <c r="E332">
        <f>'PSP Data'!E335</f>
        <v>0</v>
      </c>
      <c r="F332">
        <f>'PSP Data'!F335</f>
        <v>0</v>
      </c>
      <c r="G332">
        <f>'PSP Data'!G335</f>
        <v>0</v>
      </c>
      <c r="H332">
        <f>'PSP Data'!H335</f>
        <v>0</v>
      </c>
      <c r="I332">
        <f>'PSP Data'!I335</f>
        <v>0</v>
      </c>
      <c r="J332" s="29" t="e">
        <f t="shared" si="20"/>
        <v>#N/A</v>
      </c>
      <c r="K332" s="29" t="e">
        <f>IF(AND((A332&lt;'PSP Data'!$C$11),(A332&lt;&gt;0)),Analysis!C332,#N/A)</f>
        <v>#N/A</v>
      </c>
      <c r="L332" t="e">
        <f>IF(VLOOKUP(B332,Table1[],4)=0,"unknown", VLOOKUP(B332,Table1[],4))</f>
        <v>#N/A</v>
      </c>
      <c r="M332">
        <v>1</v>
      </c>
      <c r="N332" t="e">
        <f t="shared" si="21"/>
        <v>#N/A</v>
      </c>
      <c r="O332" t="str">
        <f t="shared" si="22"/>
        <v/>
      </c>
      <c r="P332" t="str">
        <f t="shared" si="23"/>
        <v/>
      </c>
      <c r="Q332" t="str">
        <f t="shared" si="24"/>
        <v/>
      </c>
      <c r="R332">
        <v>1</v>
      </c>
    </row>
    <row r="333" spans="1:18">
      <c r="A333">
        <f>'PSP Data'!A336</f>
        <v>0</v>
      </c>
      <c r="B333" t="str">
        <f>IF('PSP Data'!B336=0,"",'PSP Data'!B336)</f>
        <v/>
      </c>
      <c r="C333">
        <f>'PSP Data'!C336</f>
        <v>0</v>
      </c>
      <c r="D333">
        <f>'PSP Data'!D336</f>
        <v>0</v>
      </c>
      <c r="E333">
        <f>'PSP Data'!E336</f>
        <v>0</v>
      </c>
      <c r="F333">
        <f>'PSP Data'!F336</f>
        <v>0</v>
      </c>
      <c r="G333">
        <f>'PSP Data'!G336</f>
        <v>0</v>
      </c>
      <c r="H333">
        <f>'PSP Data'!H336</f>
        <v>0</v>
      </c>
      <c r="I333">
        <f>'PSP Data'!I336</f>
        <v>0</v>
      </c>
      <c r="J333" s="29" t="e">
        <f t="shared" si="20"/>
        <v>#N/A</v>
      </c>
      <c r="K333" s="29" t="e">
        <f>IF(AND((A333&lt;'PSP Data'!$C$11),(A333&lt;&gt;0)),Analysis!C333,#N/A)</f>
        <v>#N/A</v>
      </c>
      <c r="L333" t="e">
        <f>IF(VLOOKUP(B333,Table1[],4)=0,"unknown", VLOOKUP(B333,Table1[],4))</f>
        <v>#N/A</v>
      </c>
      <c r="M333">
        <v>1</v>
      </c>
      <c r="N333" t="e">
        <f t="shared" si="21"/>
        <v>#N/A</v>
      </c>
      <c r="O333" t="str">
        <f t="shared" si="22"/>
        <v/>
      </c>
      <c r="P333" t="str">
        <f t="shared" si="23"/>
        <v/>
      </c>
      <c r="Q333" t="str">
        <f t="shared" si="24"/>
        <v/>
      </c>
      <c r="R333">
        <v>1</v>
      </c>
    </row>
    <row r="334" spans="1:18">
      <c r="A334">
        <f>'PSP Data'!A337</f>
        <v>0</v>
      </c>
      <c r="B334" t="str">
        <f>IF('PSP Data'!B337=0,"",'PSP Data'!B337)</f>
        <v/>
      </c>
      <c r="C334">
        <f>'PSP Data'!C337</f>
        <v>0</v>
      </c>
      <c r="D334">
        <f>'PSP Data'!D337</f>
        <v>0</v>
      </c>
      <c r="E334">
        <f>'PSP Data'!E337</f>
        <v>0</v>
      </c>
      <c r="F334">
        <f>'PSP Data'!F337</f>
        <v>0</v>
      </c>
      <c r="G334">
        <f>'PSP Data'!G337</f>
        <v>0</v>
      </c>
      <c r="H334">
        <f>'PSP Data'!H337</f>
        <v>0</v>
      </c>
      <c r="I334">
        <f>'PSP Data'!I337</f>
        <v>0</v>
      </c>
      <c r="J334" s="29" t="e">
        <f t="shared" si="20"/>
        <v>#N/A</v>
      </c>
      <c r="K334" s="29" t="e">
        <f>IF(AND((A334&lt;'PSP Data'!$C$11),(A334&lt;&gt;0)),Analysis!C334,#N/A)</f>
        <v>#N/A</v>
      </c>
      <c r="L334" t="e">
        <f>IF(VLOOKUP(B334,Table1[],4)=0,"unknown", VLOOKUP(B334,Table1[],4))</f>
        <v>#N/A</v>
      </c>
      <c r="M334">
        <v>1</v>
      </c>
      <c r="N334" t="e">
        <f t="shared" si="21"/>
        <v>#N/A</v>
      </c>
      <c r="O334" t="str">
        <f t="shared" si="22"/>
        <v/>
      </c>
      <c r="P334" t="str">
        <f t="shared" si="23"/>
        <v/>
      </c>
      <c r="Q334" t="str">
        <f t="shared" si="24"/>
        <v/>
      </c>
      <c r="R334">
        <v>1</v>
      </c>
    </row>
    <row r="335" spans="1:18">
      <c r="A335">
        <f>'PSP Data'!A338</f>
        <v>0</v>
      </c>
      <c r="B335" t="str">
        <f>IF('PSP Data'!B338=0,"",'PSP Data'!B338)</f>
        <v/>
      </c>
      <c r="C335">
        <f>'PSP Data'!C338</f>
        <v>0</v>
      </c>
      <c r="D335">
        <f>'PSP Data'!D338</f>
        <v>0</v>
      </c>
      <c r="E335">
        <f>'PSP Data'!E338</f>
        <v>0</v>
      </c>
      <c r="F335">
        <f>'PSP Data'!F338</f>
        <v>0</v>
      </c>
      <c r="G335">
        <f>'PSP Data'!G338</f>
        <v>0</v>
      </c>
      <c r="H335">
        <f>'PSP Data'!H338</f>
        <v>0</v>
      </c>
      <c r="I335">
        <f>'PSP Data'!I338</f>
        <v>0</v>
      </c>
      <c r="J335" s="29" t="e">
        <f t="shared" si="20"/>
        <v>#N/A</v>
      </c>
      <c r="K335" s="29" t="e">
        <f>IF(AND((A335&lt;'PSP Data'!$C$11),(A335&lt;&gt;0)),Analysis!C335,#N/A)</f>
        <v>#N/A</v>
      </c>
      <c r="L335" t="e">
        <f>IF(VLOOKUP(B335,Table1[],4)=0,"unknown", VLOOKUP(B335,Table1[],4))</f>
        <v>#N/A</v>
      </c>
      <c r="M335">
        <v>1</v>
      </c>
      <c r="N335" t="e">
        <f t="shared" si="21"/>
        <v>#N/A</v>
      </c>
      <c r="O335" t="str">
        <f t="shared" si="22"/>
        <v/>
      </c>
      <c r="P335" t="str">
        <f t="shared" si="23"/>
        <v/>
      </c>
      <c r="Q335" t="str">
        <f t="shared" si="24"/>
        <v/>
      </c>
      <c r="R335">
        <v>1</v>
      </c>
    </row>
    <row r="336" spans="1:18">
      <c r="A336">
        <f>'PSP Data'!A339</f>
        <v>0</v>
      </c>
      <c r="B336" t="str">
        <f>IF('PSP Data'!B339=0,"",'PSP Data'!B339)</f>
        <v/>
      </c>
      <c r="C336">
        <f>'PSP Data'!C339</f>
        <v>0</v>
      </c>
      <c r="D336">
        <f>'PSP Data'!D339</f>
        <v>0</v>
      </c>
      <c r="E336">
        <f>'PSP Data'!E339</f>
        <v>0</v>
      </c>
      <c r="F336">
        <f>'PSP Data'!F339</f>
        <v>0</v>
      </c>
      <c r="G336">
        <f>'PSP Data'!G339</f>
        <v>0</v>
      </c>
      <c r="H336">
        <f>'PSP Data'!H339</f>
        <v>0</v>
      </c>
      <c r="I336">
        <f>'PSP Data'!I339</f>
        <v>0</v>
      </c>
      <c r="J336" s="29" t="e">
        <f t="shared" si="20"/>
        <v>#N/A</v>
      </c>
      <c r="K336" s="29" t="e">
        <f>IF(AND((A336&lt;'PSP Data'!$C$11),(A336&lt;&gt;0)),Analysis!C336,#N/A)</f>
        <v>#N/A</v>
      </c>
      <c r="L336" t="e">
        <f>IF(VLOOKUP(B336,Table1[],4)=0,"unknown", VLOOKUP(B336,Table1[],4))</f>
        <v>#N/A</v>
      </c>
      <c r="M336">
        <v>1</v>
      </c>
      <c r="N336" t="e">
        <f t="shared" si="21"/>
        <v>#N/A</v>
      </c>
      <c r="O336" t="str">
        <f t="shared" si="22"/>
        <v/>
      </c>
      <c r="P336" t="str">
        <f t="shared" si="23"/>
        <v/>
      </c>
      <c r="Q336" t="str">
        <f t="shared" si="24"/>
        <v/>
      </c>
      <c r="R336">
        <v>1</v>
      </c>
    </row>
    <row r="337" spans="1:18">
      <c r="A337">
        <f>'PSP Data'!A340</f>
        <v>0</v>
      </c>
      <c r="B337" t="str">
        <f>IF('PSP Data'!B340=0,"",'PSP Data'!B340)</f>
        <v/>
      </c>
      <c r="C337">
        <f>'PSP Data'!C340</f>
        <v>0</v>
      </c>
      <c r="D337">
        <f>'PSP Data'!D340</f>
        <v>0</v>
      </c>
      <c r="E337">
        <f>'PSP Data'!E340</f>
        <v>0</v>
      </c>
      <c r="F337">
        <f>'PSP Data'!F340</f>
        <v>0</v>
      </c>
      <c r="G337">
        <f>'PSP Data'!G340</f>
        <v>0</v>
      </c>
      <c r="H337">
        <f>'PSP Data'!H340</f>
        <v>0</v>
      </c>
      <c r="I337">
        <f>'PSP Data'!I340</f>
        <v>0</v>
      </c>
      <c r="J337" s="29" t="e">
        <f t="shared" si="20"/>
        <v>#N/A</v>
      </c>
      <c r="K337" s="29" t="e">
        <f>IF(AND((A337&lt;'PSP Data'!$C$11),(A337&lt;&gt;0)),Analysis!C337,#N/A)</f>
        <v>#N/A</v>
      </c>
      <c r="L337" t="e">
        <f>IF(VLOOKUP(B337,Table1[],4)=0,"unknown", VLOOKUP(B337,Table1[],4))</f>
        <v>#N/A</v>
      </c>
      <c r="M337">
        <v>1</v>
      </c>
      <c r="N337" t="e">
        <f t="shared" si="21"/>
        <v>#N/A</v>
      </c>
      <c r="O337" t="str">
        <f t="shared" si="22"/>
        <v/>
      </c>
      <c r="P337" t="str">
        <f t="shared" si="23"/>
        <v/>
      </c>
      <c r="Q337" t="str">
        <f t="shared" si="24"/>
        <v/>
      </c>
      <c r="R337">
        <v>1</v>
      </c>
    </row>
    <row r="338" spans="1:18">
      <c r="A338">
        <f>'PSP Data'!A341</f>
        <v>0</v>
      </c>
      <c r="B338" t="str">
        <f>IF('PSP Data'!B341=0,"",'PSP Data'!B341)</f>
        <v/>
      </c>
      <c r="C338">
        <f>'PSP Data'!C341</f>
        <v>0</v>
      </c>
      <c r="D338">
        <f>'PSP Data'!D341</f>
        <v>0</v>
      </c>
      <c r="E338">
        <f>'PSP Data'!E341</f>
        <v>0</v>
      </c>
      <c r="F338">
        <f>'PSP Data'!F341</f>
        <v>0</v>
      </c>
      <c r="G338">
        <f>'PSP Data'!G341</f>
        <v>0</v>
      </c>
      <c r="H338">
        <f>'PSP Data'!H341</f>
        <v>0</v>
      </c>
      <c r="I338">
        <f>'PSP Data'!I341</f>
        <v>0</v>
      </c>
      <c r="J338" s="29" t="e">
        <f t="shared" si="20"/>
        <v>#N/A</v>
      </c>
      <c r="K338" s="29" t="e">
        <f>IF(AND((A338&lt;'PSP Data'!$C$11),(A338&lt;&gt;0)),Analysis!C338,#N/A)</f>
        <v>#N/A</v>
      </c>
      <c r="L338" t="e">
        <f>IF(VLOOKUP(B338,Table1[],4)=0,"unknown", VLOOKUP(B338,Table1[],4))</f>
        <v>#N/A</v>
      </c>
      <c r="M338">
        <v>1</v>
      </c>
      <c r="N338" t="e">
        <f t="shared" si="21"/>
        <v>#N/A</v>
      </c>
      <c r="O338" t="str">
        <f t="shared" si="22"/>
        <v/>
      </c>
      <c r="P338" t="str">
        <f t="shared" si="23"/>
        <v/>
      </c>
      <c r="Q338" t="str">
        <f t="shared" si="24"/>
        <v/>
      </c>
      <c r="R338">
        <v>1</v>
      </c>
    </row>
    <row r="339" spans="1:18">
      <c r="A339">
        <f>'PSP Data'!A342</f>
        <v>0</v>
      </c>
      <c r="B339" t="str">
        <f>IF('PSP Data'!B342=0,"",'PSP Data'!B342)</f>
        <v/>
      </c>
      <c r="C339">
        <f>'PSP Data'!C342</f>
        <v>0</v>
      </c>
      <c r="D339">
        <f>'PSP Data'!D342</f>
        <v>0</v>
      </c>
      <c r="E339">
        <f>'PSP Data'!E342</f>
        <v>0</v>
      </c>
      <c r="F339">
        <f>'PSP Data'!F342</f>
        <v>0</v>
      </c>
      <c r="G339">
        <f>'PSP Data'!G342</f>
        <v>0</v>
      </c>
      <c r="H339">
        <f>'PSP Data'!H342</f>
        <v>0</v>
      </c>
      <c r="I339">
        <f>'PSP Data'!I342</f>
        <v>0</v>
      </c>
      <c r="J339" s="29" t="e">
        <f t="shared" si="20"/>
        <v>#N/A</v>
      </c>
      <c r="K339" s="29" t="e">
        <f>IF(AND((A339&lt;'PSP Data'!$C$11),(A339&lt;&gt;0)),Analysis!C339,#N/A)</f>
        <v>#N/A</v>
      </c>
      <c r="L339" t="e">
        <f>IF(VLOOKUP(B339,Table1[],4)=0,"unknown", VLOOKUP(B339,Table1[],4))</f>
        <v>#N/A</v>
      </c>
      <c r="M339">
        <v>1</v>
      </c>
      <c r="N339" t="e">
        <f t="shared" si="21"/>
        <v>#N/A</v>
      </c>
      <c r="O339" t="str">
        <f t="shared" si="22"/>
        <v/>
      </c>
      <c r="P339" t="str">
        <f t="shared" si="23"/>
        <v/>
      </c>
      <c r="Q339" t="str">
        <f t="shared" si="24"/>
        <v/>
      </c>
      <c r="R339">
        <v>1</v>
      </c>
    </row>
    <row r="340" spans="1:18">
      <c r="A340">
        <f>'PSP Data'!A343</f>
        <v>0</v>
      </c>
      <c r="B340" t="str">
        <f>IF('PSP Data'!B343=0,"",'PSP Data'!B343)</f>
        <v/>
      </c>
      <c r="C340">
        <f>'PSP Data'!C343</f>
        <v>0</v>
      </c>
      <c r="D340">
        <f>'PSP Data'!D343</f>
        <v>0</v>
      </c>
      <c r="E340">
        <f>'PSP Data'!E343</f>
        <v>0</v>
      </c>
      <c r="F340">
        <f>'PSP Data'!F343</f>
        <v>0</v>
      </c>
      <c r="G340">
        <f>'PSP Data'!G343</f>
        <v>0</v>
      </c>
      <c r="H340">
        <f>'PSP Data'!H343</f>
        <v>0</v>
      </c>
      <c r="I340">
        <f>'PSP Data'!I343</f>
        <v>0</v>
      </c>
      <c r="J340" s="29" t="e">
        <f t="shared" si="20"/>
        <v>#N/A</v>
      </c>
      <c r="K340" s="29" t="e">
        <f>IF(AND((A340&lt;'PSP Data'!$C$11),(A340&lt;&gt;0)),Analysis!C340,#N/A)</f>
        <v>#N/A</v>
      </c>
      <c r="L340" t="e">
        <f>IF(VLOOKUP(B340,Table1[],4)=0,"unknown", VLOOKUP(B340,Table1[],4))</f>
        <v>#N/A</v>
      </c>
      <c r="M340">
        <v>1</v>
      </c>
      <c r="N340" t="e">
        <f t="shared" si="21"/>
        <v>#N/A</v>
      </c>
      <c r="O340" t="str">
        <f t="shared" si="22"/>
        <v/>
      </c>
      <c r="P340" t="str">
        <f t="shared" si="23"/>
        <v/>
      </c>
      <c r="Q340" t="str">
        <f t="shared" si="24"/>
        <v/>
      </c>
      <c r="R340">
        <v>1</v>
      </c>
    </row>
    <row r="341" spans="1:18">
      <c r="A341">
        <f>'PSP Data'!A344</f>
        <v>0</v>
      </c>
      <c r="B341" t="str">
        <f>IF('PSP Data'!B344=0,"",'PSP Data'!B344)</f>
        <v/>
      </c>
      <c r="C341">
        <f>'PSP Data'!C344</f>
        <v>0</v>
      </c>
      <c r="D341">
        <f>'PSP Data'!D344</f>
        <v>0</v>
      </c>
      <c r="E341">
        <f>'PSP Data'!E344</f>
        <v>0</v>
      </c>
      <c r="F341">
        <f>'PSP Data'!F344</f>
        <v>0</v>
      </c>
      <c r="G341">
        <f>'PSP Data'!G344</f>
        <v>0</v>
      </c>
      <c r="H341">
        <f>'PSP Data'!H344</f>
        <v>0</v>
      </c>
      <c r="I341">
        <f>'PSP Data'!I344</f>
        <v>0</v>
      </c>
      <c r="J341" s="29" t="e">
        <f t="shared" si="20"/>
        <v>#N/A</v>
      </c>
      <c r="K341" s="29" t="e">
        <f>IF(AND((A341&lt;'PSP Data'!$C$11),(A341&lt;&gt;0)),Analysis!C341,#N/A)</f>
        <v>#N/A</v>
      </c>
      <c r="L341" t="e">
        <f>IF(VLOOKUP(B341,Table1[],4)=0,"unknown", VLOOKUP(B341,Table1[],4))</f>
        <v>#N/A</v>
      </c>
      <c r="M341">
        <v>1</v>
      </c>
      <c r="N341" t="e">
        <f t="shared" si="21"/>
        <v>#N/A</v>
      </c>
      <c r="O341" t="str">
        <f t="shared" si="22"/>
        <v/>
      </c>
      <c r="P341" t="str">
        <f t="shared" si="23"/>
        <v/>
      </c>
      <c r="Q341" t="str">
        <f t="shared" si="24"/>
        <v/>
      </c>
      <c r="R341">
        <v>1</v>
      </c>
    </row>
    <row r="342" spans="1:18">
      <c r="A342">
        <f>'PSP Data'!A345</f>
        <v>0</v>
      </c>
      <c r="B342" t="str">
        <f>IF('PSP Data'!B345=0,"",'PSP Data'!B345)</f>
        <v/>
      </c>
      <c r="C342">
        <f>'PSP Data'!C345</f>
        <v>0</v>
      </c>
      <c r="D342">
        <f>'PSP Data'!D345</f>
        <v>0</v>
      </c>
      <c r="E342">
        <f>'PSP Data'!E345</f>
        <v>0</v>
      </c>
      <c r="F342">
        <f>'PSP Data'!F345</f>
        <v>0</v>
      </c>
      <c r="G342">
        <f>'PSP Data'!G345</f>
        <v>0</v>
      </c>
      <c r="H342">
        <f>'PSP Data'!H345</f>
        <v>0</v>
      </c>
      <c r="I342">
        <f>'PSP Data'!I345</f>
        <v>0</v>
      </c>
      <c r="J342" s="29" t="e">
        <f t="shared" ref="J342:J405" si="25">IF(C342&gt;=25,C342,#N/A)</f>
        <v>#N/A</v>
      </c>
      <c r="K342" s="29" t="e">
        <f>IF(AND((A342&lt;'PSP Data'!$C$11),(A342&lt;&gt;0)),Analysis!C342,#N/A)</f>
        <v>#N/A</v>
      </c>
      <c r="L342" t="e">
        <f>IF(VLOOKUP(B342,Table1[],4)=0,"unknown", VLOOKUP(B342,Table1[],4))</f>
        <v>#N/A</v>
      </c>
      <c r="M342">
        <v>1</v>
      </c>
      <c r="N342" t="e">
        <f t="shared" ref="N342:N405" si="26">IF(L342="timber",B342,"")</f>
        <v>#N/A</v>
      </c>
      <c r="O342" t="str">
        <f t="shared" ref="O342:O405" si="27">IF(D342="y",B342,"")</f>
        <v/>
      </c>
      <c r="P342" t="str">
        <f t="shared" ref="P342:P405" si="28">IF(F342="y",B342,"")</f>
        <v/>
      </c>
      <c r="Q342" t="str">
        <f t="shared" ref="Q342:Q405" si="29">IF(B342="","",ISNUMBER(FIND("Dead wood",B342:B1221)))</f>
        <v/>
      </c>
      <c r="R342">
        <v>1</v>
      </c>
    </row>
    <row r="343" spans="1:18">
      <c r="A343">
        <f>'PSP Data'!A346</f>
        <v>0</v>
      </c>
      <c r="B343" t="str">
        <f>IF('PSP Data'!B346=0,"",'PSP Data'!B346)</f>
        <v/>
      </c>
      <c r="C343">
        <f>'PSP Data'!C346</f>
        <v>0</v>
      </c>
      <c r="D343">
        <f>'PSP Data'!D346</f>
        <v>0</v>
      </c>
      <c r="E343">
        <f>'PSP Data'!E346</f>
        <v>0</v>
      </c>
      <c r="F343">
        <f>'PSP Data'!F346</f>
        <v>0</v>
      </c>
      <c r="G343">
        <f>'PSP Data'!G346</f>
        <v>0</v>
      </c>
      <c r="H343">
        <f>'PSP Data'!H346</f>
        <v>0</v>
      </c>
      <c r="I343">
        <f>'PSP Data'!I346</f>
        <v>0</v>
      </c>
      <c r="J343" s="29" t="e">
        <f t="shared" si="25"/>
        <v>#N/A</v>
      </c>
      <c r="K343" s="29" t="e">
        <f>IF(AND((A343&lt;'PSP Data'!$C$11),(A343&lt;&gt;0)),Analysis!C343,#N/A)</f>
        <v>#N/A</v>
      </c>
      <c r="L343" t="e">
        <f>IF(VLOOKUP(B343,Table1[],4)=0,"unknown", VLOOKUP(B343,Table1[],4))</f>
        <v>#N/A</v>
      </c>
      <c r="M343">
        <v>1</v>
      </c>
      <c r="N343" t="e">
        <f t="shared" si="26"/>
        <v>#N/A</v>
      </c>
      <c r="O343" t="str">
        <f t="shared" si="27"/>
        <v/>
      </c>
      <c r="P343" t="str">
        <f t="shared" si="28"/>
        <v/>
      </c>
      <c r="Q343" t="str">
        <f t="shared" si="29"/>
        <v/>
      </c>
      <c r="R343">
        <v>1</v>
      </c>
    </row>
    <row r="344" spans="1:18">
      <c r="A344">
        <f>'PSP Data'!A347</f>
        <v>0</v>
      </c>
      <c r="B344" t="str">
        <f>IF('PSP Data'!B347=0,"",'PSP Data'!B347)</f>
        <v/>
      </c>
      <c r="C344">
        <f>'PSP Data'!C347</f>
        <v>0</v>
      </c>
      <c r="D344">
        <f>'PSP Data'!D347</f>
        <v>0</v>
      </c>
      <c r="E344">
        <f>'PSP Data'!E347</f>
        <v>0</v>
      </c>
      <c r="F344">
        <f>'PSP Data'!F347</f>
        <v>0</v>
      </c>
      <c r="G344">
        <f>'PSP Data'!G347</f>
        <v>0</v>
      </c>
      <c r="H344">
        <f>'PSP Data'!H347</f>
        <v>0</v>
      </c>
      <c r="I344">
        <f>'PSP Data'!I347</f>
        <v>0</v>
      </c>
      <c r="J344" s="29" t="e">
        <f t="shared" si="25"/>
        <v>#N/A</v>
      </c>
      <c r="K344" s="29" t="e">
        <f>IF(AND((A344&lt;'PSP Data'!$C$11),(A344&lt;&gt;0)),Analysis!C344,#N/A)</f>
        <v>#N/A</v>
      </c>
      <c r="L344" t="e">
        <f>IF(VLOOKUP(B344,Table1[],4)=0,"unknown", VLOOKUP(B344,Table1[],4))</f>
        <v>#N/A</v>
      </c>
      <c r="M344">
        <v>1</v>
      </c>
      <c r="N344" t="e">
        <f t="shared" si="26"/>
        <v>#N/A</v>
      </c>
      <c r="O344" t="str">
        <f t="shared" si="27"/>
        <v/>
      </c>
      <c r="P344" t="str">
        <f t="shared" si="28"/>
        <v/>
      </c>
      <c r="Q344" t="str">
        <f t="shared" si="29"/>
        <v/>
      </c>
      <c r="R344">
        <v>1</v>
      </c>
    </row>
    <row r="345" spans="1:18">
      <c r="A345">
        <f>'PSP Data'!A348</f>
        <v>0</v>
      </c>
      <c r="B345" t="str">
        <f>IF('PSP Data'!B348=0,"",'PSP Data'!B348)</f>
        <v/>
      </c>
      <c r="C345">
        <f>'PSP Data'!C348</f>
        <v>0</v>
      </c>
      <c r="D345">
        <f>'PSP Data'!D348</f>
        <v>0</v>
      </c>
      <c r="E345">
        <f>'PSP Data'!E348</f>
        <v>0</v>
      </c>
      <c r="F345">
        <f>'PSP Data'!F348</f>
        <v>0</v>
      </c>
      <c r="G345">
        <f>'PSP Data'!G348</f>
        <v>0</v>
      </c>
      <c r="H345">
        <f>'PSP Data'!H348</f>
        <v>0</v>
      </c>
      <c r="I345">
        <f>'PSP Data'!I348</f>
        <v>0</v>
      </c>
      <c r="J345" s="29" t="e">
        <f t="shared" si="25"/>
        <v>#N/A</v>
      </c>
      <c r="K345" s="29" t="e">
        <f>IF(AND((A345&lt;'PSP Data'!$C$11),(A345&lt;&gt;0)),Analysis!C345,#N/A)</f>
        <v>#N/A</v>
      </c>
      <c r="L345" t="e">
        <f>IF(VLOOKUP(B345,Table1[],4)=0,"unknown", VLOOKUP(B345,Table1[],4))</f>
        <v>#N/A</v>
      </c>
      <c r="M345">
        <v>1</v>
      </c>
      <c r="N345" t="e">
        <f t="shared" si="26"/>
        <v>#N/A</v>
      </c>
      <c r="O345" t="str">
        <f t="shared" si="27"/>
        <v/>
      </c>
      <c r="P345" t="str">
        <f t="shared" si="28"/>
        <v/>
      </c>
      <c r="Q345" t="str">
        <f t="shared" si="29"/>
        <v/>
      </c>
      <c r="R345">
        <v>1</v>
      </c>
    </row>
    <row r="346" spans="1:18">
      <c r="A346">
        <f>'PSP Data'!A349</f>
        <v>0</v>
      </c>
      <c r="B346" t="str">
        <f>IF('PSP Data'!B349=0,"",'PSP Data'!B349)</f>
        <v/>
      </c>
      <c r="C346">
        <f>'PSP Data'!C349</f>
        <v>0</v>
      </c>
      <c r="D346">
        <f>'PSP Data'!D349</f>
        <v>0</v>
      </c>
      <c r="E346">
        <f>'PSP Data'!E349</f>
        <v>0</v>
      </c>
      <c r="F346">
        <f>'PSP Data'!F349</f>
        <v>0</v>
      </c>
      <c r="G346">
        <f>'PSP Data'!G349</f>
        <v>0</v>
      </c>
      <c r="H346">
        <f>'PSP Data'!H349</f>
        <v>0</v>
      </c>
      <c r="I346">
        <f>'PSP Data'!I349</f>
        <v>0</v>
      </c>
      <c r="J346" s="29" t="e">
        <f t="shared" si="25"/>
        <v>#N/A</v>
      </c>
      <c r="K346" s="29" t="e">
        <f>IF(AND((A346&lt;'PSP Data'!$C$11),(A346&lt;&gt;0)),Analysis!C346,#N/A)</f>
        <v>#N/A</v>
      </c>
      <c r="L346" t="e">
        <f>IF(VLOOKUP(B346,Table1[],4)=0,"unknown", VLOOKUP(B346,Table1[],4))</f>
        <v>#N/A</v>
      </c>
      <c r="M346">
        <v>1</v>
      </c>
      <c r="N346" t="e">
        <f t="shared" si="26"/>
        <v>#N/A</v>
      </c>
      <c r="O346" t="str">
        <f t="shared" si="27"/>
        <v/>
      </c>
      <c r="P346" t="str">
        <f t="shared" si="28"/>
        <v/>
      </c>
      <c r="Q346" t="str">
        <f t="shared" si="29"/>
        <v/>
      </c>
      <c r="R346">
        <v>1</v>
      </c>
    </row>
    <row r="347" spans="1:18">
      <c r="A347">
        <f>'PSP Data'!A350</f>
        <v>0</v>
      </c>
      <c r="B347" t="str">
        <f>IF('PSP Data'!B350=0,"",'PSP Data'!B350)</f>
        <v/>
      </c>
      <c r="C347">
        <f>'PSP Data'!C350</f>
        <v>0</v>
      </c>
      <c r="D347">
        <f>'PSP Data'!D350</f>
        <v>0</v>
      </c>
      <c r="E347">
        <f>'PSP Data'!E350</f>
        <v>0</v>
      </c>
      <c r="F347">
        <f>'PSP Data'!F350</f>
        <v>0</v>
      </c>
      <c r="G347">
        <f>'PSP Data'!G350</f>
        <v>0</v>
      </c>
      <c r="H347">
        <f>'PSP Data'!H350</f>
        <v>0</v>
      </c>
      <c r="I347">
        <f>'PSP Data'!I350</f>
        <v>0</v>
      </c>
      <c r="J347" s="29" t="e">
        <f t="shared" si="25"/>
        <v>#N/A</v>
      </c>
      <c r="K347" s="29" t="e">
        <f>IF(AND((A347&lt;'PSP Data'!$C$11),(A347&lt;&gt;0)),Analysis!C347,#N/A)</f>
        <v>#N/A</v>
      </c>
      <c r="L347" t="e">
        <f>IF(VLOOKUP(B347,Table1[],4)=0,"unknown", VLOOKUP(B347,Table1[],4))</f>
        <v>#N/A</v>
      </c>
      <c r="M347">
        <v>1</v>
      </c>
      <c r="N347" t="e">
        <f t="shared" si="26"/>
        <v>#N/A</v>
      </c>
      <c r="O347" t="str">
        <f t="shared" si="27"/>
        <v/>
      </c>
      <c r="P347" t="str">
        <f t="shared" si="28"/>
        <v/>
      </c>
      <c r="Q347" t="str">
        <f t="shared" si="29"/>
        <v/>
      </c>
      <c r="R347">
        <v>1</v>
      </c>
    </row>
    <row r="348" spans="1:18">
      <c r="A348">
        <f>'PSP Data'!A351</f>
        <v>0</v>
      </c>
      <c r="B348" t="str">
        <f>IF('PSP Data'!B351=0,"",'PSP Data'!B351)</f>
        <v/>
      </c>
      <c r="C348">
        <f>'PSP Data'!C351</f>
        <v>0</v>
      </c>
      <c r="D348">
        <f>'PSP Data'!D351</f>
        <v>0</v>
      </c>
      <c r="E348">
        <f>'PSP Data'!E351</f>
        <v>0</v>
      </c>
      <c r="F348">
        <f>'PSP Data'!F351</f>
        <v>0</v>
      </c>
      <c r="G348">
        <f>'PSP Data'!G351</f>
        <v>0</v>
      </c>
      <c r="H348">
        <f>'PSP Data'!H351</f>
        <v>0</v>
      </c>
      <c r="I348">
        <f>'PSP Data'!I351</f>
        <v>0</v>
      </c>
      <c r="J348" s="29" t="e">
        <f t="shared" si="25"/>
        <v>#N/A</v>
      </c>
      <c r="K348" s="29" t="e">
        <f>IF(AND((A348&lt;'PSP Data'!$C$11),(A348&lt;&gt;0)),Analysis!C348,#N/A)</f>
        <v>#N/A</v>
      </c>
      <c r="L348" t="e">
        <f>IF(VLOOKUP(B348,Table1[],4)=0,"unknown", VLOOKUP(B348,Table1[],4))</f>
        <v>#N/A</v>
      </c>
      <c r="M348">
        <v>1</v>
      </c>
      <c r="N348" t="e">
        <f t="shared" si="26"/>
        <v>#N/A</v>
      </c>
      <c r="O348" t="str">
        <f t="shared" si="27"/>
        <v/>
      </c>
      <c r="P348" t="str">
        <f t="shared" si="28"/>
        <v/>
      </c>
      <c r="Q348" t="str">
        <f t="shared" si="29"/>
        <v/>
      </c>
      <c r="R348">
        <v>1</v>
      </c>
    </row>
    <row r="349" spans="1:18">
      <c r="A349">
        <f>'PSP Data'!A352</f>
        <v>0</v>
      </c>
      <c r="B349" t="str">
        <f>IF('PSP Data'!B352=0,"",'PSP Data'!B352)</f>
        <v/>
      </c>
      <c r="C349">
        <f>'PSP Data'!C352</f>
        <v>0</v>
      </c>
      <c r="D349">
        <f>'PSP Data'!D352</f>
        <v>0</v>
      </c>
      <c r="E349">
        <f>'PSP Data'!E352</f>
        <v>0</v>
      </c>
      <c r="F349">
        <f>'PSP Data'!F352</f>
        <v>0</v>
      </c>
      <c r="G349">
        <f>'PSP Data'!G352</f>
        <v>0</v>
      </c>
      <c r="H349">
        <f>'PSP Data'!H352</f>
        <v>0</v>
      </c>
      <c r="I349">
        <f>'PSP Data'!I352</f>
        <v>0</v>
      </c>
      <c r="J349" s="29" t="e">
        <f t="shared" si="25"/>
        <v>#N/A</v>
      </c>
      <c r="K349" s="29" t="e">
        <f>IF(AND((A349&lt;'PSP Data'!$C$11),(A349&lt;&gt;0)),Analysis!C349,#N/A)</f>
        <v>#N/A</v>
      </c>
      <c r="L349" t="e">
        <f>IF(VLOOKUP(B349,Table1[],4)=0,"unknown", VLOOKUP(B349,Table1[],4))</f>
        <v>#N/A</v>
      </c>
      <c r="M349">
        <v>1</v>
      </c>
      <c r="N349" t="e">
        <f t="shared" si="26"/>
        <v>#N/A</v>
      </c>
      <c r="O349" t="str">
        <f t="shared" si="27"/>
        <v/>
      </c>
      <c r="P349" t="str">
        <f t="shared" si="28"/>
        <v/>
      </c>
      <c r="Q349" t="str">
        <f t="shared" si="29"/>
        <v/>
      </c>
      <c r="R349">
        <v>1</v>
      </c>
    </row>
    <row r="350" spans="1:18">
      <c r="A350">
        <f>'PSP Data'!A353</f>
        <v>0</v>
      </c>
      <c r="B350" t="str">
        <f>IF('PSP Data'!B353=0,"",'PSP Data'!B353)</f>
        <v/>
      </c>
      <c r="C350">
        <f>'PSP Data'!C353</f>
        <v>0</v>
      </c>
      <c r="D350">
        <f>'PSP Data'!D353</f>
        <v>0</v>
      </c>
      <c r="E350">
        <f>'PSP Data'!E353</f>
        <v>0</v>
      </c>
      <c r="F350">
        <f>'PSP Data'!F353</f>
        <v>0</v>
      </c>
      <c r="G350">
        <f>'PSP Data'!G353</f>
        <v>0</v>
      </c>
      <c r="H350">
        <f>'PSP Data'!H353</f>
        <v>0</v>
      </c>
      <c r="I350">
        <f>'PSP Data'!I353</f>
        <v>0</v>
      </c>
      <c r="J350" s="29" t="e">
        <f t="shared" si="25"/>
        <v>#N/A</v>
      </c>
      <c r="K350" s="29" t="e">
        <f>IF(AND((A350&lt;'PSP Data'!$C$11),(A350&lt;&gt;0)),Analysis!C350,#N/A)</f>
        <v>#N/A</v>
      </c>
      <c r="L350" t="e">
        <f>IF(VLOOKUP(B350,Table1[],4)=0,"unknown", VLOOKUP(B350,Table1[],4))</f>
        <v>#N/A</v>
      </c>
      <c r="M350">
        <v>1</v>
      </c>
      <c r="N350" t="e">
        <f t="shared" si="26"/>
        <v>#N/A</v>
      </c>
      <c r="O350" t="str">
        <f t="shared" si="27"/>
        <v/>
      </c>
      <c r="P350" t="str">
        <f t="shared" si="28"/>
        <v/>
      </c>
      <c r="Q350" t="str">
        <f t="shared" si="29"/>
        <v/>
      </c>
      <c r="R350">
        <v>1</v>
      </c>
    </row>
    <row r="351" spans="1:18">
      <c r="A351">
        <f>'PSP Data'!A354</f>
        <v>0</v>
      </c>
      <c r="B351" t="str">
        <f>IF('PSP Data'!B354=0,"",'PSP Data'!B354)</f>
        <v/>
      </c>
      <c r="C351">
        <f>'PSP Data'!C354</f>
        <v>0</v>
      </c>
      <c r="D351">
        <f>'PSP Data'!D354</f>
        <v>0</v>
      </c>
      <c r="E351">
        <f>'PSP Data'!E354</f>
        <v>0</v>
      </c>
      <c r="F351">
        <f>'PSP Data'!F354</f>
        <v>0</v>
      </c>
      <c r="G351">
        <f>'PSP Data'!G354</f>
        <v>0</v>
      </c>
      <c r="H351">
        <f>'PSP Data'!H354</f>
        <v>0</v>
      </c>
      <c r="I351">
        <f>'PSP Data'!I354</f>
        <v>0</v>
      </c>
      <c r="J351" s="29" t="e">
        <f t="shared" si="25"/>
        <v>#N/A</v>
      </c>
      <c r="K351" s="29" t="e">
        <f>IF(AND((A351&lt;'PSP Data'!$C$11),(A351&lt;&gt;0)),Analysis!C351,#N/A)</f>
        <v>#N/A</v>
      </c>
      <c r="L351" t="e">
        <f>IF(VLOOKUP(B351,Table1[],4)=0,"unknown", VLOOKUP(B351,Table1[],4))</f>
        <v>#N/A</v>
      </c>
      <c r="M351">
        <v>1</v>
      </c>
      <c r="N351" t="e">
        <f t="shared" si="26"/>
        <v>#N/A</v>
      </c>
      <c r="O351" t="str">
        <f t="shared" si="27"/>
        <v/>
      </c>
      <c r="P351" t="str">
        <f t="shared" si="28"/>
        <v/>
      </c>
      <c r="Q351" t="str">
        <f t="shared" si="29"/>
        <v/>
      </c>
      <c r="R351">
        <v>1</v>
      </c>
    </row>
    <row r="352" spans="1:18">
      <c r="A352">
        <f>'PSP Data'!A355</f>
        <v>0</v>
      </c>
      <c r="B352" t="str">
        <f>IF('PSP Data'!B355=0,"",'PSP Data'!B355)</f>
        <v/>
      </c>
      <c r="C352">
        <f>'PSP Data'!C355</f>
        <v>0</v>
      </c>
      <c r="D352">
        <f>'PSP Data'!D355</f>
        <v>0</v>
      </c>
      <c r="E352">
        <f>'PSP Data'!E355</f>
        <v>0</v>
      </c>
      <c r="F352">
        <f>'PSP Data'!F355</f>
        <v>0</v>
      </c>
      <c r="G352">
        <f>'PSP Data'!G355</f>
        <v>0</v>
      </c>
      <c r="H352">
        <f>'PSP Data'!H355</f>
        <v>0</v>
      </c>
      <c r="I352">
        <f>'PSP Data'!I355</f>
        <v>0</v>
      </c>
      <c r="J352" s="29" t="e">
        <f t="shared" si="25"/>
        <v>#N/A</v>
      </c>
      <c r="K352" s="29" t="e">
        <f>IF(AND((A352&lt;'PSP Data'!$C$11),(A352&lt;&gt;0)),Analysis!C352,#N/A)</f>
        <v>#N/A</v>
      </c>
      <c r="L352" t="e">
        <f>IF(VLOOKUP(B352,Table1[],4)=0,"unknown", VLOOKUP(B352,Table1[],4))</f>
        <v>#N/A</v>
      </c>
      <c r="M352">
        <v>1</v>
      </c>
      <c r="N352" t="e">
        <f t="shared" si="26"/>
        <v>#N/A</v>
      </c>
      <c r="O352" t="str">
        <f t="shared" si="27"/>
        <v/>
      </c>
      <c r="P352" t="str">
        <f t="shared" si="28"/>
        <v/>
      </c>
      <c r="Q352" t="str">
        <f t="shared" si="29"/>
        <v/>
      </c>
      <c r="R352">
        <v>1</v>
      </c>
    </row>
    <row r="353" spans="1:18">
      <c r="A353">
        <f>'PSP Data'!A356</f>
        <v>0</v>
      </c>
      <c r="B353" t="str">
        <f>IF('PSP Data'!B356=0,"",'PSP Data'!B356)</f>
        <v/>
      </c>
      <c r="C353">
        <f>'PSP Data'!C356</f>
        <v>0</v>
      </c>
      <c r="D353">
        <f>'PSP Data'!D356</f>
        <v>0</v>
      </c>
      <c r="E353">
        <f>'PSP Data'!E356</f>
        <v>0</v>
      </c>
      <c r="F353">
        <f>'PSP Data'!F356</f>
        <v>0</v>
      </c>
      <c r="G353">
        <f>'PSP Data'!G356</f>
        <v>0</v>
      </c>
      <c r="H353">
        <f>'PSP Data'!H356</f>
        <v>0</v>
      </c>
      <c r="I353">
        <f>'PSP Data'!I356</f>
        <v>0</v>
      </c>
      <c r="J353" s="29" t="e">
        <f t="shared" si="25"/>
        <v>#N/A</v>
      </c>
      <c r="K353" s="29" t="e">
        <f>IF(AND((A353&lt;'PSP Data'!$C$11),(A353&lt;&gt;0)),Analysis!C353,#N/A)</f>
        <v>#N/A</v>
      </c>
      <c r="L353" t="e">
        <f>IF(VLOOKUP(B353,Table1[],4)=0,"unknown", VLOOKUP(B353,Table1[],4))</f>
        <v>#N/A</v>
      </c>
      <c r="M353">
        <v>1</v>
      </c>
      <c r="N353" t="e">
        <f t="shared" si="26"/>
        <v>#N/A</v>
      </c>
      <c r="O353" t="str">
        <f t="shared" si="27"/>
        <v/>
      </c>
      <c r="P353" t="str">
        <f t="shared" si="28"/>
        <v/>
      </c>
      <c r="Q353" t="str">
        <f t="shared" si="29"/>
        <v/>
      </c>
      <c r="R353">
        <v>1</v>
      </c>
    </row>
    <row r="354" spans="1:18">
      <c r="A354">
        <f>'PSP Data'!A357</f>
        <v>0</v>
      </c>
      <c r="B354" t="str">
        <f>IF('PSP Data'!B357=0,"",'PSP Data'!B357)</f>
        <v/>
      </c>
      <c r="C354">
        <f>'PSP Data'!C357</f>
        <v>0</v>
      </c>
      <c r="D354">
        <f>'PSP Data'!D357</f>
        <v>0</v>
      </c>
      <c r="E354">
        <f>'PSP Data'!E357</f>
        <v>0</v>
      </c>
      <c r="F354">
        <f>'PSP Data'!F357</f>
        <v>0</v>
      </c>
      <c r="G354">
        <f>'PSP Data'!G357</f>
        <v>0</v>
      </c>
      <c r="H354">
        <f>'PSP Data'!H357</f>
        <v>0</v>
      </c>
      <c r="I354">
        <f>'PSP Data'!I357</f>
        <v>0</v>
      </c>
      <c r="J354" s="29" t="e">
        <f t="shared" si="25"/>
        <v>#N/A</v>
      </c>
      <c r="K354" s="29" t="e">
        <f>IF(AND((A354&lt;'PSP Data'!$C$11),(A354&lt;&gt;0)),Analysis!C354,#N/A)</f>
        <v>#N/A</v>
      </c>
      <c r="L354" t="e">
        <f>IF(VLOOKUP(B354,Table1[],4)=0,"unknown", VLOOKUP(B354,Table1[],4))</f>
        <v>#N/A</v>
      </c>
      <c r="M354">
        <v>1</v>
      </c>
      <c r="N354" t="e">
        <f t="shared" si="26"/>
        <v>#N/A</v>
      </c>
      <c r="O354" t="str">
        <f t="shared" si="27"/>
        <v/>
      </c>
      <c r="P354" t="str">
        <f t="shared" si="28"/>
        <v/>
      </c>
      <c r="Q354" t="str">
        <f t="shared" si="29"/>
        <v/>
      </c>
      <c r="R354">
        <v>1</v>
      </c>
    </row>
    <row r="355" spans="1:18">
      <c r="A355">
        <f>'PSP Data'!A358</f>
        <v>0</v>
      </c>
      <c r="B355" t="str">
        <f>IF('PSP Data'!B358=0,"",'PSP Data'!B358)</f>
        <v/>
      </c>
      <c r="C355">
        <f>'PSP Data'!C358</f>
        <v>0</v>
      </c>
      <c r="D355">
        <f>'PSP Data'!D358</f>
        <v>0</v>
      </c>
      <c r="E355">
        <f>'PSP Data'!E358</f>
        <v>0</v>
      </c>
      <c r="F355">
        <f>'PSP Data'!F358</f>
        <v>0</v>
      </c>
      <c r="G355">
        <f>'PSP Data'!G358</f>
        <v>0</v>
      </c>
      <c r="H355">
        <f>'PSP Data'!H358</f>
        <v>0</v>
      </c>
      <c r="I355">
        <f>'PSP Data'!I358</f>
        <v>0</v>
      </c>
      <c r="J355" s="29" t="e">
        <f t="shared" si="25"/>
        <v>#N/A</v>
      </c>
      <c r="K355" s="29" t="e">
        <f>IF(AND((A355&lt;'PSP Data'!$C$11),(A355&lt;&gt;0)),Analysis!C355,#N/A)</f>
        <v>#N/A</v>
      </c>
      <c r="L355" t="e">
        <f>IF(VLOOKUP(B355,Table1[],4)=0,"unknown", VLOOKUP(B355,Table1[],4))</f>
        <v>#N/A</v>
      </c>
      <c r="M355">
        <v>1</v>
      </c>
      <c r="N355" t="e">
        <f t="shared" si="26"/>
        <v>#N/A</v>
      </c>
      <c r="O355" t="str">
        <f t="shared" si="27"/>
        <v/>
      </c>
      <c r="P355" t="str">
        <f t="shared" si="28"/>
        <v/>
      </c>
      <c r="Q355" t="str">
        <f t="shared" si="29"/>
        <v/>
      </c>
      <c r="R355">
        <v>1</v>
      </c>
    </row>
    <row r="356" spans="1:18">
      <c r="A356">
        <f>'PSP Data'!A359</f>
        <v>0</v>
      </c>
      <c r="B356" t="str">
        <f>IF('PSP Data'!B359=0,"",'PSP Data'!B359)</f>
        <v/>
      </c>
      <c r="C356">
        <f>'PSP Data'!C359</f>
        <v>0</v>
      </c>
      <c r="D356">
        <f>'PSP Data'!D359</f>
        <v>0</v>
      </c>
      <c r="E356">
        <f>'PSP Data'!E359</f>
        <v>0</v>
      </c>
      <c r="F356">
        <f>'PSP Data'!F359</f>
        <v>0</v>
      </c>
      <c r="G356">
        <f>'PSP Data'!G359</f>
        <v>0</v>
      </c>
      <c r="H356">
        <f>'PSP Data'!H359</f>
        <v>0</v>
      </c>
      <c r="I356">
        <f>'PSP Data'!I359</f>
        <v>0</v>
      </c>
      <c r="J356" s="29" t="e">
        <f t="shared" si="25"/>
        <v>#N/A</v>
      </c>
      <c r="K356" s="29" t="e">
        <f>IF(AND((A356&lt;'PSP Data'!$C$11),(A356&lt;&gt;0)),Analysis!C356,#N/A)</f>
        <v>#N/A</v>
      </c>
      <c r="L356" t="e">
        <f>IF(VLOOKUP(B356,Table1[],4)=0,"unknown", VLOOKUP(B356,Table1[],4))</f>
        <v>#N/A</v>
      </c>
      <c r="M356">
        <v>1</v>
      </c>
      <c r="N356" t="e">
        <f t="shared" si="26"/>
        <v>#N/A</v>
      </c>
      <c r="O356" t="str">
        <f t="shared" si="27"/>
        <v/>
      </c>
      <c r="P356" t="str">
        <f t="shared" si="28"/>
        <v/>
      </c>
      <c r="Q356" t="str">
        <f t="shared" si="29"/>
        <v/>
      </c>
      <c r="R356">
        <v>1</v>
      </c>
    </row>
    <row r="357" spans="1:18">
      <c r="A357">
        <f>'PSP Data'!A360</f>
        <v>0</v>
      </c>
      <c r="B357" t="str">
        <f>IF('PSP Data'!B360=0,"",'PSP Data'!B360)</f>
        <v/>
      </c>
      <c r="C357">
        <f>'PSP Data'!C360</f>
        <v>0</v>
      </c>
      <c r="D357">
        <f>'PSP Data'!D360</f>
        <v>0</v>
      </c>
      <c r="E357">
        <f>'PSP Data'!E360</f>
        <v>0</v>
      </c>
      <c r="F357">
        <f>'PSP Data'!F360</f>
        <v>0</v>
      </c>
      <c r="G357">
        <f>'PSP Data'!G360</f>
        <v>0</v>
      </c>
      <c r="H357">
        <f>'PSP Data'!H360</f>
        <v>0</v>
      </c>
      <c r="I357">
        <f>'PSP Data'!I360</f>
        <v>0</v>
      </c>
      <c r="J357" s="29" t="e">
        <f t="shared" si="25"/>
        <v>#N/A</v>
      </c>
      <c r="K357" s="29" t="e">
        <f>IF(AND((A357&lt;'PSP Data'!$C$11),(A357&lt;&gt;0)),Analysis!C357,#N/A)</f>
        <v>#N/A</v>
      </c>
      <c r="L357" t="e">
        <f>IF(VLOOKUP(B357,Table1[],4)=0,"unknown", VLOOKUP(B357,Table1[],4))</f>
        <v>#N/A</v>
      </c>
      <c r="M357">
        <v>1</v>
      </c>
      <c r="N357" t="e">
        <f t="shared" si="26"/>
        <v>#N/A</v>
      </c>
      <c r="O357" t="str">
        <f t="shared" si="27"/>
        <v/>
      </c>
      <c r="P357" t="str">
        <f t="shared" si="28"/>
        <v/>
      </c>
      <c r="Q357" t="str">
        <f t="shared" si="29"/>
        <v/>
      </c>
      <c r="R357">
        <v>1</v>
      </c>
    </row>
    <row r="358" spans="1:18">
      <c r="A358">
        <f>'PSP Data'!A361</f>
        <v>0</v>
      </c>
      <c r="B358" t="str">
        <f>IF('PSP Data'!B361=0,"",'PSP Data'!B361)</f>
        <v/>
      </c>
      <c r="C358">
        <f>'PSP Data'!C361</f>
        <v>0</v>
      </c>
      <c r="D358">
        <f>'PSP Data'!D361</f>
        <v>0</v>
      </c>
      <c r="E358">
        <f>'PSP Data'!E361</f>
        <v>0</v>
      </c>
      <c r="F358">
        <f>'PSP Data'!F361</f>
        <v>0</v>
      </c>
      <c r="G358">
        <f>'PSP Data'!G361</f>
        <v>0</v>
      </c>
      <c r="H358">
        <f>'PSP Data'!H361</f>
        <v>0</v>
      </c>
      <c r="I358">
        <f>'PSP Data'!I361</f>
        <v>0</v>
      </c>
      <c r="J358" s="29" t="e">
        <f t="shared" si="25"/>
        <v>#N/A</v>
      </c>
      <c r="K358" s="29" t="e">
        <f>IF(AND((A358&lt;'PSP Data'!$C$11),(A358&lt;&gt;0)),Analysis!C358,#N/A)</f>
        <v>#N/A</v>
      </c>
      <c r="L358" t="e">
        <f>IF(VLOOKUP(B358,Table1[],4)=0,"unknown", VLOOKUP(B358,Table1[],4))</f>
        <v>#N/A</v>
      </c>
      <c r="M358">
        <v>1</v>
      </c>
      <c r="N358" t="e">
        <f t="shared" si="26"/>
        <v>#N/A</v>
      </c>
      <c r="O358" t="str">
        <f t="shared" si="27"/>
        <v/>
      </c>
      <c r="P358" t="str">
        <f t="shared" si="28"/>
        <v/>
      </c>
      <c r="Q358" t="str">
        <f t="shared" si="29"/>
        <v/>
      </c>
      <c r="R358">
        <v>1</v>
      </c>
    </row>
    <row r="359" spans="1:18">
      <c r="A359">
        <f>'PSP Data'!A362</f>
        <v>0</v>
      </c>
      <c r="B359" t="str">
        <f>IF('PSP Data'!B362=0,"",'PSP Data'!B362)</f>
        <v/>
      </c>
      <c r="C359">
        <f>'PSP Data'!C362</f>
        <v>0</v>
      </c>
      <c r="D359">
        <f>'PSP Data'!D362</f>
        <v>0</v>
      </c>
      <c r="E359">
        <f>'PSP Data'!E362</f>
        <v>0</v>
      </c>
      <c r="F359">
        <f>'PSP Data'!F362</f>
        <v>0</v>
      </c>
      <c r="G359">
        <f>'PSP Data'!G362</f>
        <v>0</v>
      </c>
      <c r="H359">
        <f>'PSP Data'!H362</f>
        <v>0</v>
      </c>
      <c r="I359">
        <f>'PSP Data'!I362</f>
        <v>0</v>
      </c>
      <c r="J359" s="29" t="e">
        <f t="shared" si="25"/>
        <v>#N/A</v>
      </c>
      <c r="K359" s="29" t="e">
        <f>IF(AND((A359&lt;'PSP Data'!$C$11),(A359&lt;&gt;0)),Analysis!C359,#N/A)</f>
        <v>#N/A</v>
      </c>
      <c r="L359" t="e">
        <f>IF(VLOOKUP(B359,Table1[],4)=0,"unknown", VLOOKUP(B359,Table1[],4))</f>
        <v>#N/A</v>
      </c>
      <c r="M359">
        <v>1</v>
      </c>
      <c r="N359" t="e">
        <f t="shared" si="26"/>
        <v>#N/A</v>
      </c>
      <c r="O359" t="str">
        <f t="shared" si="27"/>
        <v/>
      </c>
      <c r="P359" t="str">
        <f t="shared" si="28"/>
        <v/>
      </c>
      <c r="Q359" t="str">
        <f t="shared" si="29"/>
        <v/>
      </c>
      <c r="R359">
        <v>1</v>
      </c>
    </row>
    <row r="360" spans="1:18">
      <c r="A360">
        <f>'PSP Data'!A363</f>
        <v>0</v>
      </c>
      <c r="B360" t="str">
        <f>IF('PSP Data'!B363=0,"",'PSP Data'!B363)</f>
        <v/>
      </c>
      <c r="C360">
        <f>'PSP Data'!C363</f>
        <v>0</v>
      </c>
      <c r="D360">
        <f>'PSP Data'!D363</f>
        <v>0</v>
      </c>
      <c r="E360">
        <f>'PSP Data'!E363</f>
        <v>0</v>
      </c>
      <c r="F360">
        <f>'PSP Data'!F363</f>
        <v>0</v>
      </c>
      <c r="G360">
        <f>'PSP Data'!G363</f>
        <v>0</v>
      </c>
      <c r="H360">
        <f>'PSP Data'!H363</f>
        <v>0</v>
      </c>
      <c r="I360">
        <f>'PSP Data'!I363</f>
        <v>0</v>
      </c>
      <c r="J360" s="29" t="e">
        <f t="shared" si="25"/>
        <v>#N/A</v>
      </c>
      <c r="K360" s="29" t="e">
        <f>IF(AND((A360&lt;'PSP Data'!$C$11),(A360&lt;&gt;0)),Analysis!C360,#N/A)</f>
        <v>#N/A</v>
      </c>
      <c r="L360" t="e">
        <f>IF(VLOOKUP(B360,Table1[],4)=0,"unknown", VLOOKUP(B360,Table1[],4))</f>
        <v>#N/A</v>
      </c>
      <c r="M360">
        <v>1</v>
      </c>
      <c r="N360" t="e">
        <f t="shared" si="26"/>
        <v>#N/A</v>
      </c>
      <c r="O360" t="str">
        <f t="shared" si="27"/>
        <v/>
      </c>
      <c r="P360" t="str">
        <f t="shared" si="28"/>
        <v/>
      </c>
      <c r="Q360" t="str">
        <f t="shared" si="29"/>
        <v/>
      </c>
      <c r="R360">
        <v>1</v>
      </c>
    </row>
    <row r="361" spans="1:18">
      <c r="A361">
        <f>'PSP Data'!A364</f>
        <v>0</v>
      </c>
      <c r="B361" t="str">
        <f>IF('PSP Data'!B364=0,"",'PSP Data'!B364)</f>
        <v/>
      </c>
      <c r="C361">
        <f>'PSP Data'!C364</f>
        <v>0</v>
      </c>
      <c r="D361">
        <f>'PSP Data'!D364</f>
        <v>0</v>
      </c>
      <c r="E361">
        <f>'PSP Data'!E364</f>
        <v>0</v>
      </c>
      <c r="F361">
        <f>'PSP Data'!F364</f>
        <v>0</v>
      </c>
      <c r="G361">
        <f>'PSP Data'!G364</f>
        <v>0</v>
      </c>
      <c r="H361">
        <f>'PSP Data'!H364</f>
        <v>0</v>
      </c>
      <c r="I361">
        <f>'PSP Data'!I364</f>
        <v>0</v>
      </c>
      <c r="J361" s="29" t="e">
        <f t="shared" si="25"/>
        <v>#N/A</v>
      </c>
      <c r="K361" s="29" t="e">
        <f>IF(AND((A361&lt;'PSP Data'!$C$11),(A361&lt;&gt;0)),Analysis!C361,#N/A)</f>
        <v>#N/A</v>
      </c>
      <c r="L361" t="e">
        <f>IF(VLOOKUP(B361,Table1[],4)=0,"unknown", VLOOKUP(B361,Table1[],4))</f>
        <v>#N/A</v>
      </c>
      <c r="M361">
        <v>1</v>
      </c>
      <c r="N361" t="e">
        <f t="shared" si="26"/>
        <v>#N/A</v>
      </c>
      <c r="O361" t="str">
        <f t="shared" si="27"/>
        <v/>
      </c>
      <c r="P361" t="str">
        <f t="shared" si="28"/>
        <v/>
      </c>
      <c r="Q361" t="str">
        <f t="shared" si="29"/>
        <v/>
      </c>
      <c r="R361">
        <v>1</v>
      </c>
    </row>
    <row r="362" spans="1:18">
      <c r="A362">
        <f>'PSP Data'!A365</f>
        <v>0</v>
      </c>
      <c r="B362" t="str">
        <f>IF('PSP Data'!B365=0,"",'PSP Data'!B365)</f>
        <v/>
      </c>
      <c r="C362">
        <f>'PSP Data'!C365</f>
        <v>0</v>
      </c>
      <c r="D362">
        <f>'PSP Data'!D365</f>
        <v>0</v>
      </c>
      <c r="E362">
        <f>'PSP Data'!E365</f>
        <v>0</v>
      </c>
      <c r="F362">
        <f>'PSP Data'!F365</f>
        <v>0</v>
      </c>
      <c r="G362">
        <f>'PSP Data'!G365</f>
        <v>0</v>
      </c>
      <c r="H362">
        <f>'PSP Data'!H365</f>
        <v>0</v>
      </c>
      <c r="I362">
        <f>'PSP Data'!I365</f>
        <v>0</v>
      </c>
      <c r="J362" s="29" t="e">
        <f t="shared" si="25"/>
        <v>#N/A</v>
      </c>
      <c r="K362" s="29" t="e">
        <f>IF(AND((A362&lt;'PSP Data'!$C$11),(A362&lt;&gt;0)),Analysis!C362,#N/A)</f>
        <v>#N/A</v>
      </c>
      <c r="L362" t="e">
        <f>IF(VLOOKUP(B362,Table1[],4)=0,"unknown", VLOOKUP(B362,Table1[],4))</f>
        <v>#N/A</v>
      </c>
      <c r="M362">
        <v>1</v>
      </c>
      <c r="N362" t="e">
        <f t="shared" si="26"/>
        <v>#N/A</v>
      </c>
      <c r="O362" t="str">
        <f t="shared" si="27"/>
        <v/>
      </c>
      <c r="P362" t="str">
        <f t="shared" si="28"/>
        <v/>
      </c>
      <c r="Q362" t="str">
        <f t="shared" si="29"/>
        <v/>
      </c>
      <c r="R362">
        <v>1</v>
      </c>
    </row>
    <row r="363" spans="1:18">
      <c r="A363">
        <f>'PSP Data'!A366</f>
        <v>0</v>
      </c>
      <c r="B363" t="str">
        <f>IF('PSP Data'!B366=0,"",'PSP Data'!B366)</f>
        <v/>
      </c>
      <c r="C363">
        <f>'PSP Data'!C366</f>
        <v>0</v>
      </c>
      <c r="D363">
        <f>'PSP Data'!D366</f>
        <v>0</v>
      </c>
      <c r="E363">
        <f>'PSP Data'!E366</f>
        <v>0</v>
      </c>
      <c r="F363">
        <f>'PSP Data'!F366</f>
        <v>0</v>
      </c>
      <c r="G363">
        <f>'PSP Data'!G366</f>
        <v>0</v>
      </c>
      <c r="H363">
        <f>'PSP Data'!H366</f>
        <v>0</v>
      </c>
      <c r="I363">
        <f>'PSP Data'!I366</f>
        <v>0</v>
      </c>
      <c r="J363" s="29" t="e">
        <f t="shared" si="25"/>
        <v>#N/A</v>
      </c>
      <c r="K363" s="29" t="e">
        <f>IF(AND((A363&lt;'PSP Data'!$C$11),(A363&lt;&gt;0)),Analysis!C363,#N/A)</f>
        <v>#N/A</v>
      </c>
      <c r="L363" t="e">
        <f>IF(VLOOKUP(B363,Table1[],4)=0,"unknown", VLOOKUP(B363,Table1[],4))</f>
        <v>#N/A</v>
      </c>
      <c r="M363">
        <v>1</v>
      </c>
      <c r="N363" t="e">
        <f t="shared" si="26"/>
        <v>#N/A</v>
      </c>
      <c r="O363" t="str">
        <f t="shared" si="27"/>
        <v/>
      </c>
      <c r="P363" t="str">
        <f t="shared" si="28"/>
        <v/>
      </c>
      <c r="Q363" t="str">
        <f t="shared" si="29"/>
        <v/>
      </c>
      <c r="R363">
        <v>1</v>
      </c>
    </row>
    <row r="364" spans="1:18">
      <c r="A364">
        <f>'PSP Data'!A367</f>
        <v>0</v>
      </c>
      <c r="B364" t="str">
        <f>IF('PSP Data'!B367=0,"",'PSP Data'!B367)</f>
        <v/>
      </c>
      <c r="C364">
        <f>'PSP Data'!C367</f>
        <v>0</v>
      </c>
      <c r="D364">
        <f>'PSP Data'!D367</f>
        <v>0</v>
      </c>
      <c r="E364">
        <f>'PSP Data'!E367</f>
        <v>0</v>
      </c>
      <c r="F364">
        <f>'PSP Data'!F367</f>
        <v>0</v>
      </c>
      <c r="G364">
        <f>'PSP Data'!G367</f>
        <v>0</v>
      </c>
      <c r="H364">
        <f>'PSP Data'!H367</f>
        <v>0</v>
      </c>
      <c r="I364">
        <f>'PSP Data'!I367</f>
        <v>0</v>
      </c>
      <c r="J364" s="29" t="e">
        <f t="shared" si="25"/>
        <v>#N/A</v>
      </c>
      <c r="K364" s="29" t="e">
        <f>IF(AND((A364&lt;'PSP Data'!$C$11),(A364&lt;&gt;0)),Analysis!C364,#N/A)</f>
        <v>#N/A</v>
      </c>
      <c r="L364" t="e">
        <f>IF(VLOOKUP(B364,Table1[],4)=0,"unknown", VLOOKUP(B364,Table1[],4))</f>
        <v>#N/A</v>
      </c>
      <c r="M364">
        <v>1</v>
      </c>
      <c r="N364" t="e">
        <f t="shared" si="26"/>
        <v>#N/A</v>
      </c>
      <c r="O364" t="str">
        <f t="shared" si="27"/>
        <v/>
      </c>
      <c r="P364" t="str">
        <f t="shared" si="28"/>
        <v/>
      </c>
      <c r="Q364" t="str">
        <f t="shared" si="29"/>
        <v/>
      </c>
      <c r="R364">
        <v>1</v>
      </c>
    </row>
    <row r="365" spans="1:18">
      <c r="A365">
        <f>'PSP Data'!A368</f>
        <v>0</v>
      </c>
      <c r="B365" t="str">
        <f>IF('PSP Data'!B368=0,"",'PSP Data'!B368)</f>
        <v/>
      </c>
      <c r="C365">
        <f>'PSP Data'!C368</f>
        <v>0</v>
      </c>
      <c r="D365">
        <f>'PSP Data'!D368</f>
        <v>0</v>
      </c>
      <c r="E365">
        <f>'PSP Data'!E368</f>
        <v>0</v>
      </c>
      <c r="F365">
        <f>'PSP Data'!F368</f>
        <v>0</v>
      </c>
      <c r="G365">
        <f>'PSP Data'!G368</f>
        <v>0</v>
      </c>
      <c r="H365">
        <f>'PSP Data'!H368</f>
        <v>0</v>
      </c>
      <c r="I365">
        <f>'PSP Data'!I368</f>
        <v>0</v>
      </c>
      <c r="J365" s="29" t="e">
        <f t="shared" si="25"/>
        <v>#N/A</v>
      </c>
      <c r="K365" s="29" t="e">
        <f>IF(AND((A365&lt;'PSP Data'!$C$11),(A365&lt;&gt;0)),Analysis!C365,#N/A)</f>
        <v>#N/A</v>
      </c>
      <c r="L365" t="e">
        <f>IF(VLOOKUP(B365,Table1[],4)=0,"unknown", VLOOKUP(B365,Table1[],4))</f>
        <v>#N/A</v>
      </c>
      <c r="M365">
        <v>1</v>
      </c>
      <c r="N365" t="e">
        <f t="shared" si="26"/>
        <v>#N/A</v>
      </c>
      <c r="O365" t="str">
        <f t="shared" si="27"/>
        <v/>
      </c>
      <c r="P365" t="str">
        <f t="shared" si="28"/>
        <v/>
      </c>
      <c r="Q365" t="str">
        <f t="shared" si="29"/>
        <v/>
      </c>
      <c r="R365">
        <v>1</v>
      </c>
    </row>
    <row r="366" spans="1:18">
      <c r="A366">
        <f>'PSP Data'!A369</f>
        <v>0</v>
      </c>
      <c r="B366" t="str">
        <f>IF('PSP Data'!B369=0,"",'PSP Data'!B369)</f>
        <v/>
      </c>
      <c r="C366">
        <f>'PSP Data'!C369</f>
        <v>0</v>
      </c>
      <c r="D366">
        <f>'PSP Data'!D369</f>
        <v>0</v>
      </c>
      <c r="E366">
        <f>'PSP Data'!E369</f>
        <v>0</v>
      </c>
      <c r="F366">
        <f>'PSP Data'!F369</f>
        <v>0</v>
      </c>
      <c r="G366">
        <f>'PSP Data'!G369</f>
        <v>0</v>
      </c>
      <c r="H366">
        <f>'PSP Data'!H369</f>
        <v>0</v>
      </c>
      <c r="I366">
        <f>'PSP Data'!I369</f>
        <v>0</v>
      </c>
      <c r="J366" s="29" t="e">
        <f t="shared" si="25"/>
        <v>#N/A</v>
      </c>
      <c r="K366" s="29" t="e">
        <f>IF(AND((A366&lt;'PSP Data'!$C$11),(A366&lt;&gt;0)),Analysis!C366,#N/A)</f>
        <v>#N/A</v>
      </c>
      <c r="L366" t="e">
        <f>IF(VLOOKUP(B366,Table1[],4)=0,"unknown", VLOOKUP(B366,Table1[],4))</f>
        <v>#N/A</v>
      </c>
      <c r="M366">
        <v>1</v>
      </c>
      <c r="N366" t="e">
        <f t="shared" si="26"/>
        <v>#N/A</v>
      </c>
      <c r="O366" t="str">
        <f t="shared" si="27"/>
        <v/>
      </c>
      <c r="P366" t="str">
        <f t="shared" si="28"/>
        <v/>
      </c>
      <c r="Q366" t="str">
        <f t="shared" si="29"/>
        <v/>
      </c>
      <c r="R366">
        <v>1</v>
      </c>
    </row>
    <row r="367" spans="1:18">
      <c r="A367">
        <f>'PSP Data'!A370</f>
        <v>0</v>
      </c>
      <c r="B367" t="str">
        <f>IF('PSP Data'!B370=0,"",'PSP Data'!B370)</f>
        <v/>
      </c>
      <c r="C367">
        <f>'PSP Data'!C370</f>
        <v>0</v>
      </c>
      <c r="D367">
        <f>'PSP Data'!D370</f>
        <v>0</v>
      </c>
      <c r="E367">
        <f>'PSP Data'!E370</f>
        <v>0</v>
      </c>
      <c r="F367">
        <f>'PSP Data'!F370</f>
        <v>0</v>
      </c>
      <c r="G367">
        <f>'PSP Data'!G370</f>
        <v>0</v>
      </c>
      <c r="H367">
        <f>'PSP Data'!H370</f>
        <v>0</v>
      </c>
      <c r="I367">
        <f>'PSP Data'!I370</f>
        <v>0</v>
      </c>
      <c r="J367" s="29" t="e">
        <f t="shared" si="25"/>
        <v>#N/A</v>
      </c>
      <c r="K367" s="29" t="e">
        <f>IF(AND((A367&lt;'PSP Data'!$C$11),(A367&lt;&gt;0)),Analysis!C367,#N/A)</f>
        <v>#N/A</v>
      </c>
      <c r="L367" t="e">
        <f>IF(VLOOKUP(B367,Table1[],4)=0,"unknown", VLOOKUP(B367,Table1[],4))</f>
        <v>#N/A</v>
      </c>
      <c r="M367">
        <v>1</v>
      </c>
      <c r="N367" t="e">
        <f t="shared" si="26"/>
        <v>#N/A</v>
      </c>
      <c r="O367" t="str">
        <f t="shared" si="27"/>
        <v/>
      </c>
      <c r="P367" t="str">
        <f t="shared" si="28"/>
        <v/>
      </c>
      <c r="Q367" t="str">
        <f t="shared" si="29"/>
        <v/>
      </c>
      <c r="R367">
        <v>1</v>
      </c>
    </row>
    <row r="368" spans="1:18">
      <c r="A368">
        <f>'PSP Data'!A371</f>
        <v>0</v>
      </c>
      <c r="B368" t="str">
        <f>IF('PSP Data'!B371=0,"",'PSP Data'!B371)</f>
        <v/>
      </c>
      <c r="C368">
        <f>'PSP Data'!C371</f>
        <v>0</v>
      </c>
      <c r="D368">
        <f>'PSP Data'!D371</f>
        <v>0</v>
      </c>
      <c r="E368">
        <f>'PSP Data'!E371</f>
        <v>0</v>
      </c>
      <c r="F368">
        <f>'PSP Data'!F371</f>
        <v>0</v>
      </c>
      <c r="G368">
        <f>'PSP Data'!G371</f>
        <v>0</v>
      </c>
      <c r="H368">
        <f>'PSP Data'!H371</f>
        <v>0</v>
      </c>
      <c r="I368">
        <f>'PSP Data'!I371</f>
        <v>0</v>
      </c>
      <c r="J368" s="29" t="e">
        <f t="shared" si="25"/>
        <v>#N/A</v>
      </c>
      <c r="K368" s="29" t="e">
        <f>IF(AND((A368&lt;'PSP Data'!$C$11),(A368&lt;&gt;0)),Analysis!C368,#N/A)</f>
        <v>#N/A</v>
      </c>
      <c r="L368" t="e">
        <f>IF(VLOOKUP(B368,Table1[],4)=0,"unknown", VLOOKUP(B368,Table1[],4))</f>
        <v>#N/A</v>
      </c>
      <c r="M368">
        <v>1</v>
      </c>
      <c r="N368" t="e">
        <f t="shared" si="26"/>
        <v>#N/A</v>
      </c>
      <c r="O368" t="str">
        <f t="shared" si="27"/>
        <v/>
      </c>
      <c r="P368" t="str">
        <f t="shared" si="28"/>
        <v/>
      </c>
      <c r="Q368" t="str">
        <f t="shared" si="29"/>
        <v/>
      </c>
      <c r="R368">
        <v>1</v>
      </c>
    </row>
    <row r="369" spans="1:18">
      <c r="A369">
        <f>'PSP Data'!A372</f>
        <v>0</v>
      </c>
      <c r="B369" t="str">
        <f>IF('PSP Data'!B372=0,"",'PSP Data'!B372)</f>
        <v/>
      </c>
      <c r="C369">
        <f>'PSP Data'!C372</f>
        <v>0</v>
      </c>
      <c r="D369">
        <f>'PSP Data'!D372</f>
        <v>0</v>
      </c>
      <c r="E369">
        <f>'PSP Data'!E372</f>
        <v>0</v>
      </c>
      <c r="F369">
        <f>'PSP Data'!F372</f>
        <v>0</v>
      </c>
      <c r="G369">
        <f>'PSP Data'!G372</f>
        <v>0</v>
      </c>
      <c r="H369">
        <f>'PSP Data'!H372</f>
        <v>0</v>
      </c>
      <c r="I369">
        <f>'PSP Data'!I372</f>
        <v>0</v>
      </c>
      <c r="J369" s="29" t="e">
        <f t="shared" si="25"/>
        <v>#N/A</v>
      </c>
      <c r="K369" s="29" t="e">
        <f>IF(AND((A369&lt;'PSP Data'!$C$11),(A369&lt;&gt;0)),Analysis!C369,#N/A)</f>
        <v>#N/A</v>
      </c>
      <c r="L369" t="e">
        <f>IF(VLOOKUP(B369,Table1[],4)=0,"unknown", VLOOKUP(B369,Table1[],4))</f>
        <v>#N/A</v>
      </c>
      <c r="M369">
        <v>1</v>
      </c>
      <c r="N369" t="e">
        <f t="shared" si="26"/>
        <v>#N/A</v>
      </c>
      <c r="O369" t="str">
        <f t="shared" si="27"/>
        <v/>
      </c>
      <c r="P369" t="str">
        <f t="shared" si="28"/>
        <v/>
      </c>
      <c r="Q369" t="str">
        <f t="shared" si="29"/>
        <v/>
      </c>
      <c r="R369">
        <v>1</v>
      </c>
    </row>
    <row r="370" spans="1:18">
      <c r="A370">
        <f>'PSP Data'!A373</f>
        <v>0</v>
      </c>
      <c r="B370" t="str">
        <f>IF('PSP Data'!B373=0,"",'PSP Data'!B373)</f>
        <v/>
      </c>
      <c r="C370">
        <f>'PSP Data'!C373</f>
        <v>0</v>
      </c>
      <c r="D370">
        <f>'PSP Data'!D373</f>
        <v>0</v>
      </c>
      <c r="E370">
        <f>'PSP Data'!E373</f>
        <v>0</v>
      </c>
      <c r="F370">
        <f>'PSP Data'!F373</f>
        <v>0</v>
      </c>
      <c r="G370">
        <f>'PSP Data'!G373</f>
        <v>0</v>
      </c>
      <c r="H370">
        <f>'PSP Data'!H373</f>
        <v>0</v>
      </c>
      <c r="I370">
        <f>'PSP Data'!I373</f>
        <v>0</v>
      </c>
      <c r="J370" s="29" t="e">
        <f t="shared" si="25"/>
        <v>#N/A</v>
      </c>
      <c r="K370" s="29" t="e">
        <f>IF(AND((A370&lt;'PSP Data'!$C$11),(A370&lt;&gt;0)),Analysis!C370,#N/A)</f>
        <v>#N/A</v>
      </c>
      <c r="L370" t="e">
        <f>IF(VLOOKUP(B370,Table1[],4)=0,"unknown", VLOOKUP(B370,Table1[],4))</f>
        <v>#N/A</v>
      </c>
      <c r="M370">
        <v>1</v>
      </c>
      <c r="N370" t="e">
        <f t="shared" si="26"/>
        <v>#N/A</v>
      </c>
      <c r="O370" t="str">
        <f t="shared" si="27"/>
        <v/>
      </c>
      <c r="P370" t="str">
        <f t="shared" si="28"/>
        <v/>
      </c>
      <c r="Q370" t="str">
        <f t="shared" si="29"/>
        <v/>
      </c>
      <c r="R370">
        <v>1</v>
      </c>
    </row>
    <row r="371" spans="1:18">
      <c r="A371">
        <f>'PSP Data'!A374</f>
        <v>0</v>
      </c>
      <c r="B371" t="str">
        <f>IF('PSP Data'!B374=0,"",'PSP Data'!B374)</f>
        <v/>
      </c>
      <c r="C371">
        <f>'PSP Data'!C374</f>
        <v>0</v>
      </c>
      <c r="D371">
        <f>'PSP Data'!D374</f>
        <v>0</v>
      </c>
      <c r="E371">
        <f>'PSP Data'!E374</f>
        <v>0</v>
      </c>
      <c r="F371">
        <f>'PSP Data'!F374</f>
        <v>0</v>
      </c>
      <c r="G371">
        <f>'PSP Data'!G374</f>
        <v>0</v>
      </c>
      <c r="H371">
        <f>'PSP Data'!H374</f>
        <v>0</v>
      </c>
      <c r="I371">
        <f>'PSP Data'!I374</f>
        <v>0</v>
      </c>
      <c r="J371" s="29" t="e">
        <f t="shared" si="25"/>
        <v>#N/A</v>
      </c>
      <c r="K371" s="29" t="e">
        <f>IF(AND((A371&lt;'PSP Data'!$C$11),(A371&lt;&gt;0)),Analysis!C371,#N/A)</f>
        <v>#N/A</v>
      </c>
      <c r="L371" t="e">
        <f>IF(VLOOKUP(B371,Table1[],4)=0,"unknown", VLOOKUP(B371,Table1[],4))</f>
        <v>#N/A</v>
      </c>
      <c r="M371">
        <v>1</v>
      </c>
      <c r="N371" t="e">
        <f t="shared" si="26"/>
        <v>#N/A</v>
      </c>
      <c r="O371" t="str">
        <f t="shared" si="27"/>
        <v/>
      </c>
      <c r="P371" t="str">
        <f t="shared" si="28"/>
        <v/>
      </c>
      <c r="Q371" t="str">
        <f t="shared" si="29"/>
        <v/>
      </c>
      <c r="R371">
        <v>1</v>
      </c>
    </row>
    <row r="372" spans="1:18">
      <c r="A372">
        <f>'PSP Data'!A375</f>
        <v>0</v>
      </c>
      <c r="B372" t="str">
        <f>IF('PSP Data'!B375=0,"",'PSP Data'!B375)</f>
        <v/>
      </c>
      <c r="C372">
        <f>'PSP Data'!C375</f>
        <v>0</v>
      </c>
      <c r="D372">
        <f>'PSP Data'!D375</f>
        <v>0</v>
      </c>
      <c r="E372">
        <f>'PSP Data'!E375</f>
        <v>0</v>
      </c>
      <c r="F372">
        <f>'PSP Data'!F375</f>
        <v>0</v>
      </c>
      <c r="G372">
        <f>'PSP Data'!G375</f>
        <v>0</v>
      </c>
      <c r="H372">
        <f>'PSP Data'!H375</f>
        <v>0</v>
      </c>
      <c r="I372">
        <f>'PSP Data'!I375</f>
        <v>0</v>
      </c>
      <c r="J372" s="29" t="e">
        <f t="shared" si="25"/>
        <v>#N/A</v>
      </c>
      <c r="K372" s="29" t="e">
        <f>IF(AND((A372&lt;'PSP Data'!$C$11),(A372&lt;&gt;0)),Analysis!C372,#N/A)</f>
        <v>#N/A</v>
      </c>
      <c r="L372" t="e">
        <f>IF(VLOOKUP(B372,Table1[],4)=0,"unknown", VLOOKUP(B372,Table1[],4))</f>
        <v>#N/A</v>
      </c>
      <c r="M372">
        <v>1</v>
      </c>
      <c r="N372" t="e">
        <f t="shared" si="26"/>
        <v>#N/A</v>
      </c>
      <c r="O372" t="str">
        <f t="shared" si="27"/>
        <v/>
      </c>
      <c r="P372" t="str">
        <f t="shared" si="28"/>
        <v/>
      </c>
      <c r="Q372" t="str">
        <f t="shared" si="29"/>
        <v/>
      </c>
      <c r="R372">
        <v>1</v>
      </c>
    </row>
    <row r="373" spans="1:18">
      <c r="A373">
        <f>'PSP Data'!A376</f>
        <v>0</v>
      </c>
      <c r="B373" t="str">
        <f>IF('PSP Data'!B376=0,"",'PSP Data'!B376)</f>
        <v/>
      </c>
      <c r="C373">
        <f>'PSP Data'!C376</f>
        <v>0</v>
      </c>
      <c r="D373">
        <f>'PSP Data'!D376</f>
        <v>0</v>
      </c>
      <c r="E373">
        <f>'PSP Data'!E376</f>
        <v>0</v>
      </c>
      <c r="F373">
        <f>'PSP Data'!F376</f>
        <v>0</v>
      </c>
      <c r="G373">
        <f>'PSP Data'!G376</f>
        <v>0</v>
      </c>
      <c r="H373">
        <f>'PSP Data'!H376</f>
        <v>0</v>
      </c>
      <c r="I373">
        <f>'PSP Data'!I376</f>
        <v>0</v>
      </c>
      <c r="J373" s="29" t="e">
        <f t="shared" si="25"/>
        <v>#N/A</v>
      </c>
      <c r="K373" s="29" t="e">
        <f>IF(AND((A373&lt;'PSP Data'!$C$11),(A373&lt;&gt;0)),Analysis!C373,#N/A)</f>
        <v>#N/A</v>
      </c>
      <c r="L373" t="e">
        <f>IF(VLOOKUP(B373,Table1[],4)=0,"unknown", VLOOKUP(B373,Table1[],4))</f>
        <v>#N/A</v>
      </c>
      <c r="M373">
        <v>1</v>
      </c>
      <c r="N373" t="e">
        <f t="shared" si="26"/>
        <v>#N/A</v>
      </c>
      <c r="O373" t="str">
        <f t="shared" si="27"/>
        <v/>
      </c>
      <c r="P373" t="str">
        <f t="shared" si="28"/>
        <v/>
      </c>
      <c r="Q373" t="str">
        <f t="shared" si="29"/>
        <v/>
      </c>
      <c r="R373">
        <v>1</v>
      </c>
    </row>
    <row r="374" spans="1:18">
      <c r="A374">
        <f>'PSP Data'!A377</f>
        <v>0</v>
      </c>
      <c r="B374" t="str">
        <f>IF('PSP Data'!B377=0,"",'PSP Data'!B377)</f>
        <v/>
      </c>
      <c r="C374">
        <f>'PSP Data'!C377</f>
        <v>0</v>
      </c>
      <c r="D374">
        <f>'PSP Data'!D377</f>
        <v>0</v>
      </c>
      <c r="E374">
        <f>'PSP Data'!E377</f>
        <v>0</v>
      </c>
      <c r="F374">
        <f>'PSP Data'!F377</f>
        <v>0</v>
      </c>
      <c r="G374">
        <f>'PSP Data'!G377</f>
        <v>0</v>
      </c>
      <c r="H374">
        <f>'PSP Data'!H377</f>
        <v>0</v>
      </c>
      <c r="I374">
        <f>'PSP Data'!I377</f>
        <v>0</v>
      </c>
      <c r="J374" s="29" t="e">
        <f t="shared" si="25"/>
        <v>#N/A</v>
      </c>
      <c r="K374" s="29" t="e">
        <f>IF(AND((A374&lt;'PSP Data'!$C$11),(A374&lt;&gt;0)),Analysis!C374,#N/A)</f>
        <v>#N/A</v>
      </c>
      <c r="L374" t="e">
        <f>IF(VLOOKUP(B374,Table1[],4)=0,"unknown", VLOOKUP(B374,Table1[],4))</f>
        <v>#N/A</v>
      </c>
      <c r="M374">
        <v>1</v>
      </c>
      <c r="N374" t="e">
        <f t="shared" si="26"/>
        <v>#N/A</v>
      </c>
      <c r="O374" t="str">
        <f t="shared" si="27"/>
        <v/>
      </c>
      <c r="P374" t="str">
        <f t="shared" si="28"/>
        <v/>
      </c>
      <c r="Q374" t="str">
        <f t="shared" si="29"/>
        <v/>
      </c>
      <c r="R374">
        <v>1</v>
      </c>
    </row>
    <row r="375" spans="1:18">
      <c r="A375">
        <f>'PSP Data'!A378</f>
        <v>0</v>
      </c>
      <c r="B375" t="str">
        <f>IF('PSP Data'!B378=0,"",'PSP Data'!B378)</f>
        <v/>
      </c>
      <c r="C375">
        <f>'PSP Data'!C378</f>
        <v>0</v>
      </c>
      <c r="D375">
        <f>'PSP Data'!D378</f>
        <v>0</v>
      </c>
      <c r="E375">
        <f>'PSP Data'!E378</f>
        <v>0</v>
      </c>
      <c r="F375">
        <f>'PSP Data'!F378</f>
        <v>0</v>
      </c>
      <c r="G375">
        <f>'PSP Data'!G378</f>
        <v>0</v>
      </c>
      <c r="H375">
        <f>'PSP Data'!H378</f>
        <v>0</v>
      </c>
      <c r="I375">
        <f>'PSP Data'!I378</f>
        <v>0</v>
      </c>
      <c r="J375" s="29" t="e">
        <f t="shared" si="25"/>
        <v>#N/A</v>
      </c>
      <c r="K375" s="29" t="e">
        <f>IF(AND((A375&lt;'PSP Data'!$C$11),(A375&lt;&gt;0)),Analysis!C375,#N/A)</f>
        <v>#N/A</v>
      </c>
      <c r="L375" t="e">
        <f>IF(VLOOKUP(B375,Table1[],4)=0,"unknown", VLOOKUP(B375,Table1[],4))</f>
        <v>#N/A</v>
      </c>
      <c r="M375">
        <v>1</v>
      </c>
      <c r="N375" t="e">
        <f t="shared" si="26"/>
        <v>#N/A</v>
      </c>
      <c r="O375" t="str">
        <f t="shared" si="27"/>
        <v/>
      </c>
      <c r="P375" t="str">
        <f t="shared" si="28"/>
        <v/>
      </c>
      <c r="Q375" t="str">
        <f t="shared" si="29"/>
        <v/>
      </c>
      <c r="R375">
        <v>1</v>
      </c>
    </row>
    <row r="376" spans="1:18">
      <c r="A376">
        <f>'PSP Data'!A379</f>
        <v>0</v>
      </c>
      <c r="B376" t="str">
        <f>IF('PSP Data'!B379=0,"",'PSP Data'!B379)</f>
        <v/>
      </c>
      <c r="C376">
        <f>'PSP Data'!C379</f>
        <v>0</v>
      </c>
      <c r="D376">
        <f>'PSP Data'!D379</f>
        <v>0</v>
      </c>
      <c r="E376">
        <f>'PSP Data'!E379</f>
        <v>0</v>
      </c>
      <c r="F376">
        <f>'PSP Data'!F379</f>
        <v>0</v>
      </c>
      <c r="G376">
        <f>'PSP Data'!G379</f>
        <v>0</v>
      </c>
      <c r="H376">
        <f>'PSP Data'!H379</f>
        <v>0</v>
      </c>
      <c r="I376">
        <f>'PSP Data'!I379</f>
        <v>0</v>
      </c>
      <c r="J376" s="29" t="e">
        <f t="shared" si="25"/>
        <v>#N/A</v>
      </c>
      <c r="K376" s="29" t="e">
        <f>IF(AND((A376&lt;'PSP Data'!$C$11),(A376&lt;&gt;0)),Analysis!C376,#N/A)</f>
        <v>#N/A</v>
      </c>
      <c r="L376" t="e">
        <f>IF(VLOOKUP(B376,Table1[],4)=0,"unknown", VLOOKUP(B376,Table1[],4))</f>
        <v>#N/A</v>
      </c>
      <c r="M376">
        <v>1</v>
      </c>
      <c r="N376" t="e">
        <f t="shared" si="26"/>
        <v>#N/A</v>
      </c>
      <c r="O376" t="str">
        <f t="shared" si="27"/>
        <v/>
      </c>
      <c r="P376" t="str">
        <f t="shared" si="28"/>
        <v/>
      </c>
      <c r="Q376" t="str">
        <f t="shared" si="29"/>
        <v/>
      </c>
      <c r="R376">
        <v>1</v>
      </c>
    </row>
    <row r="377" spans="1:18">
      <c r="A377">
        <f>'PSP Data'!A380</f>
        <v>0</v>
      </c>
      <c r="B377" t="str">
        <f>IF('PSP Data'!B380=0,"",'PSP Data'!B380)</f>
        <v/>
      </c>
      <c r="C377">
        <f>'PSP Data'!C380</f>
        <v>0</v>
      </c>
      <c r="D377">
        <f>'PSP Data'!D380</f>
        <v>0</v>
      </c>
      <c r="E377">
        <f>'PSP Data'!E380</f>
        <v>0</v>
      </c>
      <c r="F377">
        <f>'PSP Data'!F380</f>
        <v>0</v>
      </c>
      <c r="G377">
        <f>'PSP Data'!G380</f>
        <v>0</v>
      </c>
      <c r="H377">
        <f>'PSP Data'!H380</f>
        <v>0</v>
      </c>
      <c r="I377">
        <f>'PSP Data'!I380</f>
        <v>0</v>
      </c>
      <c r="J377" s="29" t="e">
        <f t="shared" si="25"/>
        <v>#N/A</v>
      </c>
      <c r="K377" s="29" t="e">
        <f>IF(AND((A377&lt;'PSP Data'!$C$11),(A377&lt;&gt;0)),Analysis!C377,#N/A)</f>
        <v>#N/A</v>
      </c>
      <c r="L377" t="e">
        <f>IF(VLOOKUP(B377,Table1[],4)=0,"unknown", VLOOKUP(B377,Table1[],4))</f>
        <v>#N/A</v>
      </c>
      <c r="M377">
        <v>1</v>
      </c>
      <c r="N377" t="e">
        <f t="shared" si="26"/>
        <v>#N/A</v>
      </c>
      <c r="O377" t="str">
        <f t="shared" si="27"/>
        <v/>
      </c>
      <c r="P377" t="str">
        <f t="shared" si="28"/>
        <v/>
      </c>
      <c r="Q377" t="str">
        <f t="shared" si="29"/>
        <v/>
      </c>
      <c r="R377">
        <v>1</v>
      </c>
    </row>
    <row r="378" spans="1:18">
      <c r="A378">
        <f>'PSP Data'!A381</f>
        <v>0</v>
      </c>
      <c r="B378" t="str">
        <f>IF('PSP Data'!B381=0,"",'PSP Data'!B381)</f>
        <v/>
      </c>
      <c r="C378">
        <f>'PSP Data'!C381</f>
        <v>0</v>
      </c>
      <c r="D378">
        <f>'PSP Data'!D381</f>
        <v>0</v>
      </c>
      <c r="E378">
        <f>'PSP Data'!E381</f>
        <v>0</v>
      </c>
      <c r="F378">
        <f>'PSP Data'!F381</f>
        <v>0</v>
      </c>
      <c r="G378">
        <f>'PSP Data'!G381</f>
        <v>0</v>
      </c>
      <c r="H378">
        <f>'PSP Data'!H381</f>
        <v>0</v>
      </c>
      <c r="I378">
        <f>'PSP Data'!I381</f>
        <v>0</v>
      </c>
      <c r="J378" s="29" t="e">
        <f t="shared" si="25"/>
        <v>#N/A</v>
      </c>
      <c r="K378" s="29" t="e">
        <f>IF(AND((A378&lt;'PSP Data'!$C$11),(A378&lt;&gt;0)),Analysis!C378,#N/A)</f>
        <v>#N/A</v>
      </c>
      <c r="L378" t="e">
        <f>IF(VLOOKUP(B378,Table1[],4)=0,"unknown", VLOOKUP(B378,Table1[],4))</f>
        <v>#N/A</v>
      </c>
      <c r="M378">
        <v>1</v>
      </c>
      <c r="N378" t="e">
        <f t="shared" si="26"/>
        <v>#N/A</v>
      </c>
      <c r="O378" t="str">
        <f t="shared" si="27"/>
        <v/>
      </c>
      <c r="P378" t="str">
        <f t="shared" si="28"/>
        <v/>
      </c>
      <c r="Q378" t="str">
        <f t="shared" si="29"/>
        <v/>
      </c>
      <c r="R378">
        <v>1</v>
      </c>
    </row>
    <row r="379" spans="1:18">
      <c r="A379">
        <f>'PSP Data'!A382</f>
        <v>0</v>
      </c>
      <c r="B379" t="str">
        <f>IF('PSP Data'!B382=0,"",'PSP Data'!B382)</f>
        <v/>
      </c>
      <c r="C379">
        <f>'PSP Data'!C382</f>
        <v>0</v>
      </c>
      <c r="D379">
        <f>'PSP Data'!D382</f>
        <v>0</v>
      </c>
      <c r="E379">
        <f>'PSP Data'!E382</f>
        <v>0</v>
      </c>
      <c r="F379">
        <f>'PSP Data'!F382</f>
        <v>0</v>
      </c>
      <c r="G379">
        <f>'PSP Data'!G382</f>
        <v>0</v>
      </c>
      <c r="H379">
        <f>'PSP Data'!H382</f>
        <v>0</v>
      </c>
      <c r="I379">
        <f>'PSP Data'!I382</f>
        <v>0</v>
      </c>
      <c r="J379" s="29" t="e">
        <f t="shared" si="25"/>
        <v>#N/A</v>
      </c>
      <c r="K379" s="29" t="e">
        <f>IF(AND((A379&lt;'PSP Data'!$C$11),(A379&lt;&gt;0)),Analysis!C379,#N/A)</f>
        <v>#N/A</v>
      </c>
      <c r="L379" t="e">
        <f>IF(VLOOKUP(B379,Table1[],4)=0,"unknown", VLOOKUP(B379,Table1[],4))</f>
        <v>#N/A</v>
      </c>
      <c r="M379">
        <v>1</v>
      </c>
      <c r="N379" t="e">
        <f t="shared" si="26"/>
        <v>#N/A</v>
      </c>
      <c r="O379" t="str">
        <f t="shared" si="27"/>
        <v/>
      </c>
      <c r="P379" t="str">
        <f t="shared" si="28"/>
        <v/>
      </c>
      <c r="Q379" t="str">
        <f t="shared" si="29"/>
        <v/>
      </c>
      <c r="R379">
        <v>1</v>
      </c>
    </row>
    <row r="380" spans="1:18">
      <c r="A380">
        <f>'PSP Data'!A383</f>
        <v>0</v>
      </c>
      <c r="B380" t="str">
        <f>IF('PSP Data'!B383=0,"",'PSP Data'!B383)</f>
        <v/>
      </c>
      <c r="C380">
        <f>'PSP Data'!C383</f>
        <v>0</v>
      </c>
      <c r="D380">
        <f>'PSP Data'!D383</f>
        <v>0</v>
      </c>
      <c r="E380">
        <f>'PSP Data'!E383</f>
        <v>0</v>
      </c>
      <c r="F380">
        <f>'PSP Data'!F383</f>
        <v>0</v>
      </c>
      <c r="G380">
        <f>'PSP Data'!G383</f>
        <v>0</v>
      </c>
      <c r="H380">
        <f>'PSP Data'!H383</f>
        <v>0</v>
      </c>
      <c r="I380">
        <f>'PSP Data'!I383</f>
        <v>0</v>
      </c>
      <c r="J380" s="29" t="e">
        <f t="shared" si="25"/>
        <v>#N/A</v>
      </c>
      <c r="K380" s="29" t="e">
        <f>IF(AND((A380&lt;'PSP Data'!$C$11),(A380&lt;&gt;0)),Analysis!C380,#N/A)</f>
        <v>#N/A</v>
      </c>
      <c r="L380" t="e">
        <f>IF(VLOOKUP(B380,Table1[],4)=0,"unknown", VLOOKUP(B380,Table1[],4))</f>
        <v>#N/A</v>
      </c>
      <c r="M380">
        <v>1</v>
      </c>
      <c r="N380" t="e">
        <f t="shared" si="26"/>
        <v>#N/A</v>
      </c>
      <c r="O380" t="str">
        <f t="shared" si="27"/>
        <v/>
      </c>
      <c r="P380" t="str">
        <f t="shared" si="28"/>
        <v/>
      </c>
      <c r="Q380" t="str">
        <f t="shared" si="29"/>
        <v/>
      </c>
      <c r="R380">
        <v>1</v>
      </c>
    </row>
    <row r="381" spans="1:18">
      <c r="A381">
        <f>'PSP Data'!A384</f>
        <v>0</v>
      </c>
      <c r="B381" t="str">
        <f>IF('PSP Data'!B384=0,"",'PSP Data'!B384)</f>
        <v/>
      </c>
      <c r="C381">
        <f>'PSP Data'!C384</f>
        <v>0</v>
      </c>
      <c r="D381">
        <f>'PSP Data'!D384</f>
        <v>0</v>
      </c>
      <c r="E381">
        <f>'PSP Data'!E384</f>
        <v>0</v>
      </c>
      <c r="F381">
        <f>'PSP Data'!F384</f>
        <v>0</v>
      </c>
      <c r="G381">
        <f>'PSP Data'!G384</f>
        <v>0</v>
      </c>
      <c r="H381">
        <f>'PSP Data'!H384</f>
        <v>0</v>
      </c>
      <c r="I381">
        <f>'PSP Data'!I384</f>
        <v>0</v>
      </c>
      <c r="J381" s="29" t="e">
        <f t="shared" si="25"/>
        <v>#N/A</v>
      </c>
      <c r="K381" s="29" t="e">
        <f>IF(AND((A381&lt;'PSP Data'!$C$11),(A381&lt;&gt;0)),Analysis!C381,#N/A)</f>
        <v>#N/A</v>
      </c>
      <c r="L381" t="e">
        <f>IF(VLOOKUP(B381,Table1[],4)=0,"unknown", VLOOKUP(B381,Table1[],4))</f>
        <v>#N/A</v>
      </c>
      <c r="M381">
        <v>1</v>
      </c>
      <c r="N381" t="e">
        <f t="shared" si="26"/>
        <v>#N/A</v>
      </c>
      <c r="O381" t="str">
        <f t="shared" si="27"/>
        <v/>
      </c>
      <c r="P381" t="str">
        <f t="shared" si="28"/>
        <v/>
      </c>
      <c r="Q381" t="str">
        <f t="shared" si="29"/>
        <v/>
      </c>
      <c r="R381">
        <v>1</v>
      </c>
    </row>
    <row r="382" spans="1:18">
      <c r="A382">
        <f>'PSP Data'!A385</f>
        <v>0</v>
      </c>
      <c r="B382" t="str">
        <f>IF('PSP Data'!B385=0,"",'PSP Data'!B385)</f>
        <v/>
      </c>
      <c r="C382">
        <f>'PSP Data'!C385</f>
        <v>0</v>
      </c>
      <c r="D382">
        <f>'PSP Data'!D385</f>
        <v>0</v>
      </c>
      <c r="E382">
        <f>'PSP Data'!E385</f>
        <v>0</v>
      </c>
      <c r="F382">
        <f>'PSP Data'!F385</f>
        <v>0</v>
      </c>
      <c r="G382">
        <f>'PSP Data'!G385</f>
        <v>0</v>
      </c>
      <c r="H382">
        <f>'PSP Data'!H385</f>
        <v>0</v>
      </c>
      <c r="I382">
        <f>'PSP Data'!I385</f>
        <v>0</v>
      </c>
      <c r="J382" s="29" t="e">
        <f t="shared" si="25"/>
        <v>#N/A</v>
      </c>
      <c r="K382" s="29" t="e">
        <f>IF(AND((A382&lt;'PSP Data'!$C$11),(A382&lt;&gt;0)),Analysis!C382,#N/A)</f>
        <v>#N/A</v>
      </c>
      <c r="L382" t="e">
        <f>IF(VLOOKUP(B382,Table1[],4)=0,"unknown", VLOOKUP(B382,Table1[],4))</f>
        <v>#N/A</v>
      </c>
      <c r="M382">
        <v>1</v>
      </c>
      <c r="N382" t="e">
        <f t="shared" si="26"/>
        <v>#N/A</v>
      </c>
      <c r="O382" t="str">
        <f t="shared" si="27"/>
        <v/>
      </c>
      <c r="P382" t="str">
        <f t="shared" si="28"/>
        <v/>
      </c>
      <c r="Q382" t="str">
        <f t="shared" si="29"/>
        <v/>
      </c>
      <c r="R382">
        <v>1</v>
      </c>
    </row>
    <row r="383" spans="1:18">
      <c r="A383">
        <f>'PSP Data'!A386</f>
        <v>0</v>
      </c>
      <c r="B383" t="str">
        <f>IF('PSP Data'!B386=0,"",'PSP Data'!B386)</f>
        <v/>
      </c>
      <c r="C383">
        <f>'PSP Data'!C386</f>
        <v>0</v>
      </c>
      <c r="D383">
        <f>'PSP Data'!D386</f>
        <v>0</v>
      </c>
      <c r="E383">
        <f>'PSP Data'!E386</f>
        <v>0</v>
      </c>
      <c r="F383">
        <f>'PSP Data'!F386</f>
        <v>0</v>
      </c>
      <c r="G383">
        <f>'PSP Data'!G386</f>
        <v>0</v>
      </c>
      <c r="H383">
        <f>'PSP Data'!H386</f>
        <v>0</v>
      </c>
      <c r="I383">
        <f>'PSP Data'!I386</f>
        <v>0</v>
      </c>
      <c r="J383" s="29" t="e">
        <f t="shared" si="25"/>
        <v>#N/A</v>
      </c>
      <c r="K383" s="29" t="e">
        <f>IF(AND((A383&lt;'PSP Data'!$C$11),(A383&lt;&gt;0)),Analysis!C383,#N/A)</f>
        <v>#N/A</v>
      </c>
      <c r="L383" t="e">
        <f>IF(VLOOKUP(B383,Table1[],4)=0,"unknown", VLOOKUP(B383,Table1[],4))</f>
        <v>#N/A</v>
      </c>
      <c r="M383">
        <v>1</v>
      </c>
      <c r="N383" t="e">
        <f t="shared" si="26"/>
        <v>#N/A</v>
      </c>
      <c r="O383" t="str">
        <f t="shared" si="27"/>
        <v/>
      </c>
      <c r="P383" t="str">
        <f t="shared" si="28"/>
        <v/>
      </c>
      <c r="Q383" t="str">
        <f t="shared" si="29"/>
        <v/>
      </c>
      <c r="R383">
        <v>1</v>
      </c>
    </row>
    <row r="384" spans="1:18">
      <c r="A384">
        <f>'PSP Data'!A387</f>
        <v>0</v>
      </c>
      <c r="B384" t="str">
        <f>IF('PSP Data'!B387=0,"",'PSP Data'!B387)</f>
        <v/>
      </c>
      <c r="C384">
        <f>'PSP Data'!C387</f>
        <v>0</v>
      </c>
      <c r="D384">
        <f>'PSP Data'!D387</f>
        <v>0</v>
      </c>
      <c r="E384">
        <f>'PSP Data'!E387</f>
        <v>0</v>
      </c>
      <c r="F384">
        <f>'PSP Data'!F387</f>
        <v>0</v>
      </c>
      <c r="G384">
        <f>'PSP Data'!G387</f>
        <v>0</v>
      </c>
      <c r="H384">
        <f>'PSP Data'!H387</f>
        <v>0</v>
      </c>
      <c r="I384">
        <f>'PSP Data'!I387</f>
        <v>0</v>
      </c>
      <c r="J384" s="29" t="e">
        <f t="shared" si="25"/>
        <v>#N/A</v>
      </c>
      <c r="K384" s="29" t="e">
        <f>IF(AND((A384&lt;'PSP Data'!$C$11),(A384&lt;&gt;0)),Analysis!C384,#N/A)</f>
        <v>#N/A</v>
      </c>
      <c r="L384" t="e">
        <f>IF(VLOOKUP(B384,Table1[],4)=0,"unknown", VLOOKUP(B384,Table1[],4))</f>
        <v>#N/A</v>
      </c>
      <c r="M384">
        <v>1</v>
      </c>
      <c r="N384" t="e">
        <f t="shared" si="26"/>
        <v>#N/A</v>
      </c>
      <c r="O384" t="str">
        <f t="shared" si="27"/>
        <v/>
      </c>
      <c r="P384" t="str">
        <f t="shared" si="28"/>
        <v/>
      </c>
      <c r="Q384" t="str">
        <f t="shared" si="29"/>
        <v/>
      </c>
      <c r="R384">
        <v>1</v>
      </c>
    </row>
    <row r="385" spans="1:18">
      <c r="A385">
        <f>'PSP Data'!A388</f>
        <v>0</v>
      </c>
      <c r="B385" t="str">
        <f>IF('PSP Data'!B388=0,"",'PSP Data'!B388)</f>
        <v/>
      </c>
      <c r="C385">
        <f>'PSP Data'!C388</f>
        <v>0</v>
      </c>
      <c r="D385">
        <f>'PSP Data'!D388</f>
        <v>0</v>
      </c>
      <c r="E385">
        <f>'PSP Data'!E388</f>
        <v>0</v>
      </c>
      <c r="F385">
        <f>'PSP Data'!F388</f>
        <v>0</v>
      </c>
      <c r="G385">
        <f>'PSP Data'!G388</f>
        <v>0</v>
      </c>
      <c r="H385">
        <f>'PSP Data'!H388</f>
        <v>0</v>
      </c>
      <c r="I385">
        <f>'PSP Data'!I388</f>
        <v>0</v>
      </c>
      <c r="J385" s="29" t="e">
        <f t="shared" si="25"/>
        <v>#N/A</v>
      </c>
      <c r="K385" s="29" t="e">
        <f>IF(AND((A385&lt;'PSP Data'!$C$11),(A385&lt;&gt;0)),Analysis!C385,#N/A)</f>
        <v>#N/A</v>
      </c>
      <c r="L385" t="e">
        <f>IF(VLOOKUP(B385,Table1[],4)=0,"unknown", VLOOKUP(B385,Table1[],4))</f>
        <v>#N/A</v>
      </c>
      <c r="M385">
        <v>1</v>
      </c>
      <c r="N385" t="e">
        <f t="shared" si="26"/>
        <v>#N/A</v>
      </c>
      <c r="O385" t="str">
        <f t="shared" si="27"/>
        <v/>
      </c>
      <c r="P385" t="str">
        <f t="shared" si="28"/>
        <v/>
      </c>
      <c r="Q385" t="str">
        <f t="shared" si="29"/>
        <v/>
      </c>
      <c r="R385">
        <v>1</v>
      </c>
    </row>
    <row r="386" spans="1:18">
      <c r="A386">
        <f>'PSP Data'!A389</f>
        <v>0</v>
      </c>
      <c r="B386" t="str">
        <f>IF('PSP Data'!B389=0,"",'PSP Data'!B389)</f>
        <v/>
      </c>
      <c r="C386">
        <f>'PSP Data'!C389</f>
        <v>0</v>
      </c>
      <c r="D386">
        <f>'PSP Data'!D389</f>
        <v>0</v>
      </c>
      <c r="E386">
        <f>'PSP Data'!E389</f>
        <v>0</v>
      </c>
      <c r="F386">
        <f>'PSP Data'!F389</f>
        <v>0</v>
      </c>
      <c r="G386">
        <f>'PSP Data'!G389</f>
        <v>0</v>
      </c>
      <c r="H386">
        <f>'PSP Data'!H389</f>
        <v>0</v>
      </c>
      <c r="I386">
        <f>'PSP Data'!I389</f>
        <v>0</v>
      </c>
      <c r="J386" s="29" t="e">
        <f t="shared" si="25"/>
        <v>#N/A</v>
      </c>
      <c r="K386" s="29" t="e">
        <f>IF(AND((A386&lt;'PSP Data'!$C$11),(A386&lt;&gt;0)),Analysis!C386,#N/A)</f>
        <v>#N/A</v>
      </c>
      <c r="L386" t="e">
        <f>IF(VLOOKUP(B386,Table1[],4)=0,"unknown", VLOOKUP(B386,Table1[],4))</f>
        <v>#N/A</v>
      </c>
      <c r="M386">
        <v>1</v>
      </c>
      <c r="N386" t="e">
        <f t="shared" si="26"/>
        <v>#N/A</v>
      </c>
      <c r="O386" t="str">
        <f t="shared" si="27"/>
        <v/>
      </c>
      <c r="P386" t="str">
        <f t="shared" si="28"/>
        <v/>
      </c>
      <c r="Q386" t="str">
        <f t="shared" si="29"/>
        <v/>
      </c>
      <c r="R386">
        <v>1</v>
      </c>
    </row>
    <row r="387" spans="1:18">
      <c r="A387">
        <f>'PSP Data'!A390</f>
        <v>0</v>
      </c>
      <c r="B387" t="str">
        <f>IF('PSP Data'!B390=0,"",'PSP Data'!B390)</f>
        <v/>
      </c>
      <c r="C387">
        <f>'PSP Data'!C390</f>
        <v>0</v>
      </c>
      <c r="D387">
        <f>'PSP Data'!D390</f>
        <v>0</v>
      </c>
      <c r="E387">
        <f>'PSP Data'!E390</f>
        <v>0</v>
      </c>
      <c r="F387">
        <f>'PSP Data'!F390</f>
        <v>0</v>
      </c>
      <c r="G387">
        <f>'PSP Data'!G390</f>
        <v>0</v>
      </c>
      <c r="H387">
        <f>'PSP Data'!H390</f>
        <v>0</v>
      </c>
      <c r="I387">
        <f>'PSP Data'!I390</f>
        <v>0</v>
      </c>
      <c r="J387" s="29" t="e">
        <f t="shared" si="25"/>
        <v>#N/A</v>
      </c>
      <c r="K387" s="29" t="e">
        <f>IF(AND((A387&lt;'PSP Data'!$C$11),(A387&lt;&gt;0)),Analysis!C387,#N/A)</f>
        <v>#N/A</v>
      </c>
      <c r="L387" t="e">
        <f>IF(VLOOKUP(B387,Table1[],4)=0,"unknown", VLOOKUP(B387,Table1[],4))</f>
        <v>#N/A</v>
      </c>
      <c r="M387">
        <v>1</v>
      </c>
      <c r="N387" t="e">
        <f t="shared" si="26"/>
        <v>#N/A</v>
      </c>
      <c r="O387" t="str">
        <f t="shared" si="27"/>
        <v/>
      </c>
      <c r="P387" t="str">
        <f t="shared" si="28"/>
        <v/>
      </c>
      <c r="Q387" t="str">
        <f t="shared" si="29"/>
        <v/>
      </c>
      <c r="R387">
        <v>1</v>
      </c>
    </row>
    <row r="388" spans="1:18">
      <c r="A388">
        <f>'PSP Data'!A391</f>
        <v>0</v>
      </c>
      <c r="B388" t="str">
        <f>IF('PSP Data'!B391=0,"",'PSP Data'!B391)</f>
        <v/>
      </c>
      <c r="C388">
        <f>'PSP Data'!C391</f>
        <v>0</v>
      </c>
      <c r="D388">
        <f>'PSP Data'!D391</f>
        <v>0</v>
      </c>
      <c r="E388">
        <f>'PSP Data'!E391</f>
        <v>0</v>
      </c>
      <c r="F388">
        <f>'PSP Data'!F391</f>
        <v>0</v>
      </c>
      <c r="G388">
        <f>'PSP Data'!G391</f>
        <v>0</v>
      </c>
      <c r="H388">
        <f>'PSP Data'!H391</f>
        <v>0</v>
      </c>
      <c r="I388">
        <f>'PSP Data'!I391</f>
        <v>0</v>
      </c>
      <c r="J388" s="29" t="e">
        <f t="shared" si="25"/>
        <v>#N/A</v>
      </c>
      <c r="K388" s="29" t="e">
        <f>IF(AND((A388&lt;'PSP Data'!$C$11),(A388&lt;&gt;0)),Analysis!C388,#N/A)</f>
        <v>#N/A</v>
      </c>
      <c r="L388" t="e">
        <f>IF(VLOOKUP(B388,Table1[],4)=0,"unknown", VLOOKUP(B388,Table1[],4))</f>
        <v>#N/A</v>
      </c>
      <c r="M388">
        <v>1</v>
      </c>
      <c r="N388" t="e">
        <f t="shared" si="26"/>
        <v>#N/A</v>
      </c>
      <c r="O388" t="str">
        <f t="shared" si="27"/>
        <v/>
      </c>
      <c r="P388" t="str">
        <f t="shared" si="28"/>
        <v/>
      </c>
      <c r="Q388" t="str">
        <f t="shared" si="29"/>
        <v/>
      </c>
      <c r="R388">
        <v>1</v>
      </c>
    </row>
    <row r="389" spans="1:18">
      <c r="A389">
        <f>'PSP Data'!A392</f>
        <v>0</v>
      </c>
      <c r="B389" t="str">
        <f>IF('PSP Data'!B392=0,"",'PSP Data'!B392)</f>
        <v/>
      </c>
      <c r="C389">
        <f>'PSP Data'!C392</f>
        <v>0</v>
      </c>
      <c r="D389">
        <f>'PSP Data'!D392</f>
        <v>0</v>
      </c>
      <c r="E389">
        <f>'PSP Data'!E392</f>
        <v>0</v>
      </c>
      <c r="F389">
        <f>'PSP Data'!F392</f>
        <v>0</v>
      </c>
      <c r="G389">
        <f>'PSP Data'!G392</f>
        <v>0</v>
      </c>
      <c r="H389">
        <f>'PSP Data'!H392</f>
        <v>0</v>
      </c>
      <c r="I389">
        <f>'PSP Data'!I392</f>
        <v>0</v>
      </c>
      <c r="J389" s="29" t="e">
        <f t="shared" si="25"/>
        <v>#N/A</v>
      </c>
      <c r="K389" s="29" t="e">
        <f>IF(AND((A389&lt;'PSP Data'!$C$11),(A389&lt;&gt;0)),Analysis!C389,#N/A)</f>
        <v>#N/A</v>
      </c>
      <c r="L389" t="e">
        <f>IF(VLOOKUP(B389,Table1[],4)=0,"unknown", VLOOKUP(B389,Table1[],4))</f>
        <v>#N/A</v>
      </c>
      <c r="M389">
        <v>1</v>
      </c>
      <c r="N389" t="e">
        <f t="shared" si="26"/>
        <v>#N/A</v>
      </c>
      <c r="O389" t="str">
        <f t="shared" si="27"/>
        <v/>
      </c>
      <c r="P389" t="str">
        <f t="shared" si="28"/>
        <v/>
      </c>
      <c r="Q389" t="str">
        <f t="shared" si="29"/>
        <v/>
      </c>
      <c r="R389">
        <v>1</v>
      </c>
    </row>
    <row r="390" spans="1:18">
      <c r="A390">
        <f>'PSP Data'!A393</f>
        <v>0</v>
      </c>
      <c r="B390" t="str">
        <f>IF('PSP Data'!B393=0,"",'PSP Data'!B393)</f>
        <v/>
      </c>
      <c r="C390">
        <f>'PSP Data'!C393</f>
        <v>0</v>
      </c>
      <c r="D390">
        <f>'PSP Data'!D393</f>
        <v>0</v>
      </c>
      <c r="E390">
        <f>'PSP Data'!E393</f>
        <v>0</v>
      </c>
      <c r="F390">
        <f>'PSP Data'!F393</f>
        <v>0</v>
      </c>
      <c r="G390">
        <f>'PSP Data'!G393</f>
        <v>0</v>
      </c>
      <c r="H390">
        <f>'PSP Data'!H393</f>
        <v>0</v>
      </c>
      <c r="I390">
        <f>'PSP Data'!I393</f>
        <v>0</v>
      </c>
      <c r="J390" s="29" t="e">
        <f t="shared" si="25"/>
        <v>#N/A</v>
      </c>
      <c r="K390" s="29" t="e">
        <f>IF(AND((A390&lt;'PSP Data'!$C$11),(A390&lt;&gt;0)),Analysis!C390,#N/A)</f>
        <v>#N/A</v>
      </c>
      <c r="L390" t="e">
        <f>IF(VLOOKUP(B390,Table1[],4)=0,"unknown", VLOOKUP(B390,Table1[],4))</f>
        <v>#N/A</v>
      </c>
      <c r="M390">
        <v>1</v>
      </c>
      <c r="N390" t="e">
        <f t="shared" si="26"/>
        <v>#N/A</v>
      </c>
      <c r="O390" t="str">
        <f t="shared" si="27"/>
        <v/>
      </c>
      <c r="P390" t="str">
        <f t="shared" si="28"/>
        <v/>
      </c>
      <c r="Q390" t="str">
        <f t="shared" si="29"/>
        <v/>
      </c>
      <c r="R390">
        <v>1</v>
      </c>
    </row>
    <row r="391" spans="1:18">
      <c r="A391">
        <f>'PSP Data'!A394</f>
        <v>0</v>
      </c>
      <c r="B391" t="str">
        <f>IF('PSP Data'!B394=0,"",'PSP Data'!B394)</f>
        <v/>
      </c>
      <c r="C391">
        <f>'PSP Data'!C394</f>
        <v>0</v>
      </c>
      <c r="D391">
        <f>'PSP Data'!D394</f>
        <v>0</v>
      </c>
      <c r="E391">
        <f>'PSP Data'!E394</f>
        <v>0</v>
      </c>
      <c r="F391">
        <f>'PSP Data'!F394</f>
        <v>0</v>
      </c>
      <c r="G391">
        <f>'PSP Data'!G394</f>
        <v>0</v>
      </c>
      <c r="H391">
        <f>'PSP Data'!H394</f>
        <v>0</v>
      </c>
      <c r="I391">
        <f>'PSP Data'!I394</f>
        <v>0</v>
      </c>
      <c r="J391" s="29" t="e">
        <f t="shared" si="25"/>
        <v>#N/A</v>
      </c>
      <c r="K391" s="29" t="e">
        <f>IF(AND((A391&lt;'PSP Data'!$C$11),(A391&lt;&gt;0)),Analysis!C391,#N/A)</f>
        <v>#N/A</v>
      </c>
      <c r="L391" t="e">
        <f>IF(VLOOKUP(B391,Table1[],4)=0,"unknown", VLOOKUP(B391,Table1[],4))</f>
        <v>#N/A</v>
      </c>
      <c r="M391">
        <v>1</v>
      </c>
      <c r="N391" t="e">
        <f t="shared" si="26"/>
        <v>#N/A</v>
      </c>
      <c r="O391" t="str">
        <f t="shared" si="27"/>
        <v/>
      </c>
      <c r="P391" t="str">
        <f t="shared" si="28"/>
        <v/>
      </c>
      <c r="Q391" t="str">
        <f t="shared" si="29"/>
        <v/>
      </c>
      <c r="R391">
        <v>1</v>
      </c>
    </row>
    <row r="392" spans="1:18">
      <c r="A392">
        <f>'PSP Data'!A395</f>
        <v>0</v>
      </c>
      <c r="B392" t="str">
        <f>IF('PSP Data'!B395=0,"",'PSP Data'!B395)</f>
        <v/>
      </c>
      <c r="C392">
        <f>'PSP Data'!C395</f>
        <v>0</v>
      </c>
      <c r="D392">
        <f>'PSP Data'!D395</f>
        <v>0</v>
      </c>
      <c r="E392">
        <f>'PSP Data'!E395</f>
        <v>0</v>
      </c>
      <c r="F392">
        <f>'PSP Data'!F395</f>
        <v>0</v>
      </c>
      <c r="G392">
        <f>'PSP Data'!G395</f>
        <v>0</v>
      </c>
      <c r="H392">
        <f>'PSP Data'!H395</f>
        <v>0</v>
      </c>
      <c r="I392">
        <f>'PSP Data'!I395</f>
        <v>0</v>
      </c>
      <c r="J392" s="29" t="e">
        <f t="shared" si="25"/>
        <v>#N/A</v>
      </c>
      <c r="K392" s="29" t="e">
        <f>IF(AND((A392&lt;'PSP Data'!$C$11),(A392&lt;&gt;0)),Analysis!C392,#N/A)</f>
        <v>#N/A</v>
      </c>
      <c r="L392" t="e">
        <f>IF(VLOOKUP(B392,Table1[],4)=0,"unknown", VLOOKUP(B392,Table1[],4))</f>
        <v>#N/A</v>
      </c>
      <c r="M392">
        <v>1</v>
      </c>
      <c r="N392" t="e">
        <f t="shared" si="26"/>
        <v>#N/A</v>
      </c>
      <c r="O392" t="str">
        <f t="shared" si="27"/>
        <v/>
      </c>
      <c r="P392" t="str">
        <f t="shared" si="28"/>
        <v/>
      </c>
      <c r="Q392" t="str">
        <f t="shared" si="29"/>
        <v/>
      </c>
      <c r="R392">
        <v>1</v>
      </c>
    </row>
    <row r="393" spans="1:18">
      <c r="A393">
        <f>'PSP Data'!A396</f>
        <v>0</v>
      </c>
      <c r="B393" t="str">
        <f>IF('PSP Data'!B396=0,"",'PSP Data'!B396)</f>
        <v/>
      </c>
      <c r="C393">
        <f>'PSP Data'!C396</f>
        <v>0</v>
      </c>
      <c r="D393">
        <f>'PSP Data'!D396</f>
        <v>0</v>
      </c>
      <c r="E393">
        <f>'PSP Data'!E396</f>
        <v>0</v>
      </c>
      <c r="F393">
        <f>'PSP Data'!F396</f>
        <v>0</v>
      </c>
      <c r="G393">
        <f>'PSP Data'!G396</f>
        <v>0</v>
      </c>
      <c r="H393">
        <f>'PSP Data'!H396</f>
        <v>0</v>
      </c>
      <c r="I393">
        <f>'PSP Data'!I396</f>
        <v>0</v>
      </c>
      <c r="J393" s="29" t="e">
        <f t="shared" si="25"/>
        <v>#N/A</v>
      </c>
      <c r="K393" s="29" t="e">
        <f>IF(AND((A393&lt;'PSP Data'!$C$11),(A393&lt;&gt;0)),Analysis!C393,#N/A)</f>
        <v>#N/A</v>
      </c>
      <c r="L393" t="e">
        <f>IF(VLOOKUP(B393,Table1[],4)=0,"unknown", VLOOKUP(B393,Table1[],4))</f>
        <v>#N/A</v>
      </c>
      <c r="M393">
        <v>1</v>
      </c>
      <c r="N393" t="e">
        <f t="shared" si="26"/>
        <v>#N/A</v>
      </c>
      <c r="O393" t="str">
        <f t="shared" si="27"/>
        <v/>
      </c>
      <c r="P393" t="str">
        <f t="shared" si="28"/>
        <v/>
      </c>
      <c r="Q393" t="str">
        <f t="shared" si="29"/>
        <v/>
      </c>
      <c r="R393">
        <v>1</v>
      </c>
    </row>
    <row r="394" spans="1:18">
      <c r="A394">
        <f>'PSP Data'!A397</f>
        <v>0</v>
      </c>
      <c r="B394" t="str">
        <f>IF('PSP Data'!B397=0,"",'PSP Data'!B397)</f>
        <v/>
      </c>
      <c r="C394">
        <f>'PSP Data'!C397</f>
        <v>0</v>
      </c>
      <c r="D394">
        <f>'PSP Data'!D397</f>
        <v>0</v>
      </c>
      <c r="E394">
        <f>'PSP Data'!E397</f>
        <v>0</v>
      </c>
      <c r="F394">
        <f>'PSP Data'!F397</f>
        <v>0</v>
      </c>
      <c r="G394">
        <f>'PSP Data'!G397</f>
        <v>0</v>
      </c>
      <c r="H394">
        <f>'PSP Data'!H397</f>
        <v>0</v>
      </c>
      <c r="I394">
        <f>'PSP Data'!I397</f>
        <v>0</v>
      </c>
      <c r="J394" s="29" t="e">
        <f t="shared" si="25"/>
        <v>#N/A</v>
      </c>
      <c r="K394" s="29" t="e">
        <f>IF(AND((A394&lt;'PSP Data'!$C$11),(A394&lt;&gt;0)),Analysis!C394,#N/A)</f>
        <v>#N/A</v>
      </c>
      <c r="L394" t="e">
        <f>IF(VLOOKUP(B394,Table1[],4)=0,"unknown", VLOOKUP(B394,Table1[],4))</f>
        <v>#N/A</v>
      </c>
      <c r="M394">
        <v>1</v>
      </c>
      <c r="N394" t="e">
        <f t="shared" si="26"/>
        <v>#N/A</v>
      </c>
      <c r="O394" t="str">
        <f t="shared" si="27"/>
        <v/>
      </c>
      <c r="P394" t="str">
        <f t="shared" si="28"/>
        <v/>
      </c>
      <c r="Q394" t="str">
        <f t="shared" si="29"/>
        <v/>
      </c>
      <c r="R394">
        <v>1</v>
      </c>
    </row>
    <row r="395" spans="1:18">
      <c r="A395">
        <f>'PSP Data'!A398</f>
        <v>0</v>
      </c>
      <c r="B395" t="str">
        <f>IF('PSP Data'!B398=0,"",'PSP Data'!B398)</f>
        <v/>
      </c>
      <c r="C395">
        <f>'PSP Data'!C398</f>
        <v>0</v>
      </c>
      <c r="D395">
        <f>'PSP Data'!D398</f>
        <v>0</v>
      </c>
      <c r="E395">
        <f>'PSP Data'!E398</f>
        <v>0</v>
      </c>
      <c r="F395">
        <f>'PSP Data'!F398</f>
        <v>0</v>
      </c>
      <c r="G395">
        <f>'PSP Data'!G398</f>
        <v>0</v>
      </c>
      <c r="H395">
        <f>'PSP Data'!H398</f>
        <v>0</v>
      </c>
      <c r="I395">
        <f>'PSP Data'!I398</f>
        <v>0</v>
      </c>
      <c r="J395" s="29" t="e">
        <f t="shared" si="25"/>
        <v>#N/A</v>
      </c>
      <c r="K395" s="29" t="e">
        <f>IF(AND((A395&lt;'PSP Data'!$C$11),(A395&lt;&gt;0)),Analysis!C395,#N/A)</f>
        <v>#N/A</v>
      </c>
      <c r="L395" t="e">
        <f>IF(VLOOKUP(B395,Table1[],4)=0,"unknown", VLOOKUP(B395,Table1[],4))</f>
        <v>#N/A</v>
      </c>
      <c r="M395">
        <v>1</v>
      </c>
      <c r="N395" t="e">
        <f t="shared" si="26"/>
        <v>#N/A</v>
      </c>
      <c r="O395" t="str">
        <f t="shared" si="27"/>
        <v/>
      </c>
      <c r="P395" t="str">
        <f t="shared" si="28"/>
        <v/>
      </c>
      <c r="Q395" t="str">
        <f t="shared" si="29"/>
        <v/>
      </c>
      <c r="R395">
        <v>1</v>
      </c>
    </row>
    <row r="396" spans="1:18">
      <c r="A396">
        <f>'PSP Data'!A399</f>
        <v>0</v>
      </c>
      <c r="B396" t="str">
        <f>IF('PSP Data'!B399=0,"",'PSP Data'!B399)</f>
        <v/>
      </c>
      <c r="C396">
        <f>'PSP Data'!C399</f>
        <v>0</v>
      </c>
      <c r="D396">
        <f>'PSP Data'!D399</f>
        <v>0</v>
      </c>
      <c r="E396">
        <f>'PSP Data'!E399</f>
        <v>0</v>
      </c>
      <c r="F396">
        <f>'PSP Data'!F399</f>
        <v>0</v>
      </c>
      <c r="G396">
        <f>'PSP Data'!G399</f>
        <v>0</v>
      </c>
      <c r="H396">
        <f>'PSP Data'!H399</f>
        <v>0</v>
      </c>
      <c r="I396">
        <f>'PSP Data'!I399</f>
        <v>0</v>
      </c>
      <c r="J396" s="29" t="e">
        <f t="shared" si="25"/>
        <v>#N/A</v>
      </c>
      <c r="K396" s="29" t="e">
        <f>IF(AND((A396&lt;'PSP Data'!$C$11),(A396&lt;&gt;0)),Analysis!C396,#N/A)</f>
        <v>#N/A</v>
      </c>
      <c r="L396" t="e">
        <f>IF(VLOOKUP(B396,Table1[],4)=0,"unknown", VLOOKUP(B396,Table1[],4))</f>
        <v>#N/A</v>
      </c>
      <c r="M396">
        <v>1</v>
      </c>
      <c r="N396" t="e">
        <f t="shared" si="26"/>
        <v>#N/A</v>
      </c>
      <c r="O396" t="str">
        <f t="shared" si="27"/>
        <v/>
      </c>
      <c r="P396" t="str">
        <f t="shared" si="28"/>
        <v/>
      </c>
      <c r="Q396" t="str">
        <f t="shared" si="29"/>
        <v/>
      </c>
      <c r="R396">
        <v>1</v>
      </c>
    </row>
    <row r="397" spans="1:18">
      <c r="A397">
        <f>'PSP Data'!A400</f>
        <v>0</v>
      </c>
      <c r="B397" t="str">
        <f>IF('PSP Data'!B400=0,"",'PSP Data'!B400)</f>
        <v/>
      </c>
      <c r="C397">
        <f>'PSP Data'!C400</f>
        <v>0</v>
      </c>
      <c r="D397">
        <f>'PSP Data'!D400</f>
        <v>0</v>
      </c>
      <c r="E397">
        <f>'PSP Data'!E400</f>
        <v>0</v>
      </c>
      <c r="F397">
        <f>'PSP Data'!F400</f>
        <v>0</v>
      </c>
      <c r="G397">
        <f>'PSP Data'!G400</f>
        <v>0</v>
      </c>
      <c r="H397">
        <f>'PSP Data'!H400</f>
        <v>0</v>
      </c>
      <c r="I397">
        <f>'PSP Data'!I400</f>
        <v>0</v>
      </c>
      <c r="J397" s="29" t="e">
        <f t="shared" si="25"/>
        <v>#N/A</v>
      </c>
      <c r="K397" s="29" t="e">
        <f>IF(AND((A397&lt;'PSP Data'!$C$11),(A397&lt;&gt;0)),Analysis!C397,#N/A)</f>
        <v>#N/A</v>
      </c>
      <c r="L397" t="e">
        <f>IF(VLOOKUP(B397,Table1[],4)=0,"unknown", VLOOKUP(B397,Table1[],4))</f>
        <v>#N/A</v>
      </c>
      <c r="M397">
        <v>1</v>
      </c>
      <c r="N397" t="e">
        <f t="shared" si="26"/>
        <v>#N/A</v>
      </c>
      <c r="O397" t="str">
        <f t="shared" si="27"/>
        <v/>
      </c>
      <c r="P397" t="str">
        <f t="shared" si="28"/>
        <v/>
      </c>
      <c r="Q397" t="str">
        <f t="shared" si="29"/>
        <v/>
      </c>
      <c r="R397">
        <v>1</v>
      </c>
    </row>
    <row r="398" spans="1:18">
      <c r="A398">
        <f>'PSP Data'!A401</f>
        <v>0</v>
      </c>
      <c r="B398" t="str">
        <f>IF('PSP Data'!B401=0,"",'PSP Data'!B401)</f>
        <v/>
      </c>
      <c r="C398">
        <f>'PSP Data'!C401</f>
        <v>0</v>
      </c>
      <c r="D398">
        <f>'PSP Data'!D401</f>
        <v>0</v>
      </c>
      <c r="E398">
        <f>'PSP Data'!E401</f>
        <v>0</v>
      </c>
      <c r="F398">
        <f>'PSP Data'!F401</f>
        <v>0</v>
      </c>
      <c r="G398">
        <f>'PSP Data'!G401</f>
        <v>0</v>
      </c>
      <c r="H398">
        <f>'PSP Data'!H401</f>
        <v>0</v>
      </c>
      <c r="I398">
        <f>'PSP Data'!I401</f>
        <v>0</v>
      </c>
      <c r="J398" s="29" t="e">
        <f t="shared" si="25"/>
        <v>#N/A</v>
      </c>
      <c r="K398" s="29" t="e">
        <f>IF(AND((A398&lt;'PSP Data'!$C$11),(A398&lt;&gt;0)),Analysis!C398,#N/A)</f>
        <v>#N/A</v>
      </c>
      <c r="L398" t="e">
        <f>IF(VLOOKUP(B398,Table1[],4)=0,"unknown", VLOOKUP(B398,Table1[],4))</f>
        <v>#N/A</v>
      </c>
      <c r="M398">
        <v>1</v>
      </c>
      <c r="N398" t="e">
        <f t="shared" si="26"/>
        <v>#N/A</v>
      </c>
      <c r="O398" t="str">
        <f t="shared" si="27"/>
        <v/>
      </c>
      <c r="P398" t="str">
        <f t="shared" si="28"/>
        <v/>
      </c>
      <c r="Q398" t="str">
        <f t="shared" si="29"/>
        <v/>
      </c>
      <c r="R398">
        <v>1</v>
      </c>
    </row>
    <row r="399" spans="1:18">
      <c r="A399">
        <f>'PSP Data'!A402</f>
        <v>0</v>
      </c>
      <c r="B399" t="str">
        <f>IF('PSP Data'!B402=0,"",'PSP Data'!B402)</f>
        <v/>
      </c>
      <c r="C399">
        <f>'PSP Data'!C402</f>
        <v>0</v>
      </c>
      <c r="D399">
        <f>'PSP Data'!D402</f>
        <v>0</v>
      </c>
      <c r="E399">
        <f>'PSP Data'!E402</f>
        <v>0</v>
      </c>
      <c r="F399">
        <f>'PSP Data'!F402</f>
        <v>0</v>
      </c>
      <c r="G399">
        <f>'PSP Data'!G402</f>
        <v>0</v>
      </c>
      <c r="H399">
        <f>'PSP Data'!H402</f>
        <v>0</v>
      </c>
      <c r="I399">
        <f>'PSP Data'!I402</f>
        <v>0</v>
      </c>
      <c r="J399" s="29" t="e">
        <f t="shared" si="25"/>
        <v>#N/A</v>
      </c>
      <c r="K399" s="29" t="e">
        <f>IF(AND((A399&lt;'PSP Data'!$C$11),(A399&lt;&gt;0)),Analysis!C399,#N/A)</f>
        <v>#N/A</v>
      </c>
      <c r="L399" t="e">
        <f>IF(VLOOKUP(B399,Table1[],4)=0,"unknown", VLOOKUP(B399,Table1[],4))</f>
        <v>#N/A</v>
      </c>
      <c r="M399">
        <v>1</v>
      </c>
      <c r="N399" t="e">
        <f t="shared" si="26"/>
        <v>#N/A</v>
      </c>
      <c r="O399" t="str">
        <f t="shared" si="27"/>
        <v/>
      </c>
      <c r="P399" t="str">
        <f t="shared" si="28"/>
        <v/>
      </c>
      <c r="Q399" t="str">
        <f t="shared" si="29"/>
        <v/>
      </c>
      <c r="R399">
        <v>1</v>
      </c>
    </row>
    <row r="400" spans="1:18">
      <c r="A400">
        <f>'PSP Data'!A403</f>
        <v>0</v>
      </c>
      <c r="B400" t="str">
        <f>IF('PSP Data'!B403=0,"",'PSP Data'!B403)</f>
        <v/>
      </c>
      <c r="C400">
        <f>'PSP Data'!C403</f>
        <v>0</v>
      </c>
      <c r="D400">
        <f>'PSP Data'!D403</f>
        <v>0</v>
      </c>
      <c r="E400">
        <f>'PSP Data'!E403</f>
        <v>0</v>
      </c>
      <c r="F400">
        <f>'PSP Data'!F403</f>
        <v>0</v>
      </c>
      <c r="G400">
        <f>'PSP Data'!G403</f>
        <v>0</v>
      </c>
      <c r="H400">
        <f>'PSP Data'!H403</f>
        <v>0</v>
      </c>
      <c r="I400">
        <f>'PSP Data'!I403</f>
        <v>0</v>
      </c>
      <c r="J400" s="29" t="e">
        <f t="shared" si="25"/>
        <v>#N/A</v>
      </c>
      <c r="K400" s="29" t="e">
        <f>IF(AND((A400&lt;'PSP Data'!$C$11),(A400&lt;&gt;0)),Analysis!C400,#N/A)</f>
        <v>#N/A</v>
      </c>
      <c r="L400" t="e">
        <f>IF(VLOOKUP(B400,Table1[],4)=0,"unknown", VLOOKUP(B400,Table1[],4))</f>
        <v>#N/A</v>
      </c>
      <c r="M400">
        <v>1</v>
      </c>
      <c r="N400" t="e">
        <f t="shared" si="26"/>
        <v>#N/A</v>
      </c>
      <c r="O400" t="str">
        <f t="shared" si="27"/>
        <v/>
      </c>
      <c r="P400" t="str">
        <f t="shared" si="28"/>
        <v/>
      </c>
      <c r="Q400" t="str">
        <f t="shared" si="29"/>
        <v/>
      </c>
      <c r="R400">
        <v>1</v>
      </c>
    </row>
    <row r="401" spans="1:18">
      <c r="A401">
        <f>'PSP Data'!A404</f>
        <v>0</v>
      </c>
      <c r="B401" t="str">
        <f>IF('PSP Data'!B404=0,"",'PSP Data'!B404)</f>
        <v/>
      </c>
      <c r="C401">
        <f>'PSP Data'!C404</f>
        <v>0</v>
      </c>
      <c r="D401">
        <f>'PSP Data'!D404</f>
        <v>0</v>
      </c>
      <c r="E401">
        <f>'PSP Data'!E404</f>
        <v>0</v>
      </c>
      <c r="F401">
        <f>'PSP Data'!F404</f>
        <v>0</v>
      </c>
      <c r="G401">
        <f>'PSP Data'!G404</f>
        <v>0</v>
      </c>
      <c r="H401">
        <f>'PSP Data'!H404</f>
        <v>0</v>
      </c>
      <c r="I401">
        <f>'PSP Data'!I404</f>
        <v>0</v>
      </c>
      <c r="J401" s="29" t="e">
        <f t="shared" si="25"/>
        <v>#N/A</v>
      </c>
      <c r="K401" s="29" t="e">
        <f>IF(AND((A401&lt;'PSP Data'!$C$11),(A401&lt;&gt;0)),Analysis!C401,#N/A)</f>
        <v>#N/A</v>
      </c>
      <c r="L401" t="e">
        <f>IF(VLOOKUP(B401,Table1[],4)=0,"unknown", VLOOKUP(B401,Table1[],4))</f>
        <v>#N/A</v>
      </c>
      <c r="M401">
        <v>1</v>
      </c>
      <c r="N401" t="e">
        <f t="shared" si="26"/>
        <v>#N/A</v>
      </c>
      <c r="O401" t="str">
        <f t="shared" si="27"/>
        <v/>
      </c>
      <c r="P401" t="str">
        <f t="shared" si="28"/>
        <v/>
      </c>
      <c r="Q401" t="str">
        <f t="shared" si="29"/>
        <v/>
      </c>
      <c r="R401">
        <v>1</v>
      </c>
    </row>
    <row r="402" spans="1:18">
      <c r="A402">
        <f>'PSP Data'!A405</f>
        <v>0</v>
      </c>
      <c r="B402" t="str">
        <f>IF('PSP Data'!B405=0,"",'PSP Data'!B405)</f>
        <v/>
      </c>
      <c r="C402">
        <f>'PSP Data'!C405</f>
        <v>0</v>
      </c>
      <c r="D402">
        <f>'PSP Data'!D405</f>
        <v>0</v>
      </c>
      <c r="E402">
        <f>'PSP Data'!E405</f>
        <v>0</v>
      </c>
      <c r="F402">
        <f>'PSP Data'!F405</f>
        <v>0</v>
      </c>
      <c r="G402">
        <f>'PSP Data'!G405</f>
        <v>0</v>
      </c>
      <c r="H402">
        <f>'PSP Data'!H405</f>
        <v>0</v>
      </c>
      <c r="I402">
        <f>'PSP Data'!I405</f>
        <v>0</v>
      </c>
      <c r="J402" s="29" t="e">
        <f t="shared" si="25"/>
        <v>#N/A</v>
      </c>
      <c r="K402" s="29" t="e">
        <f>IF(AND((A402&lt;'PSP Data'!$C$11),(A402&lt;&gt;0)),Analysis!C402,#N/A)</f>
        <v>#N/A</v>
      </c>
      <c r="L402" t="e">
        <f>IF(VLOOKUP(B402,Table1[],4)=0,"unknown", VLOOKUP(B402,Table1[],4))</f>
        <v>#N/A</v>
      </c>
      <c r="M402">
        <v>1</v>
      </c>
      <c r="N402" t="e">
        <f t="shared" si="26"/>
        <v>#N/A</v>
      </c>
      <c r="O402" t="str">
        <f t="shared" si="27"/>
        <v/>
      </c>
      <c r="P402" t="str">
        <f t="shared" si="28"/>
        <v/>
      </c>
      <c r="Q402" t="str">
        <f t="shared" si="29"/>
        <v/>
      </c>
      <c r="R402">
        <v>1</v>
      </c>
    </row>
    <row r="403" spans="1:18">
      <c r="A403">
        <f>'PSP Data'!A406</f>
        <v>0</v>
      </c>
      <c r="B403" t="str">
        <f>IF('PSP Data'!B406=0,"",'PSP Data'!B406)</f>
        <v/>
      </c>
      <c r="C403">
        <f>'PSP Data'!C406</f>
        <v>0</v>
      </c>
      <c r="D403">
        <f>'PSP Data'!D406</f>
        <v>0</v>
      </c>
      <c r="E403">
        <f>'PSP Data'!E406</f>
        <v>0</v>
      </c>
      <c r="F403">
        <f>'PSP Data'!F406</f>
        <v>0</v>
      </c>
      <c r="G403">
        <f>'PSP Data'!G406</f>
        <v>0</v>
      </c>
      <c r="H403">
        <f>'PSP Data'!H406</f>
        <v>0</v>
      </c>
      <c r="I403">
        <f>'PSP Data'!I406</f>
        <v>0</v>
      </c>
      <c r="J403" s="29" t="e">
        <f t="shared" si="25"/>
        <v>#N/A</v>
      </c>
      <c r="K403" s="29" t="e">
        <f>IF(AND((A403&lt;'PSP Data'!$C$11),(A403&lt;&gt;0)),Analysis!C403,#N/A)</f>
        <v>#N/A</v>
      </c>
      <c r="L403" t="e">
        <f>IF(VLOOKUP(B403,Table1[],4)=0,"unknown", VLOOKUP(B403,Table1[],4))</f>
        <v>#N/A</v>
      </c>
      <c r="M403">
        <v>1</v>
      </c>
      <c r="N403" t="e">
        <f t="shared" si="26"/>
        <v>#N/A</v>
      </c>
      <c r="O403" t="str">
        <f t="shared" si="27"/>
        <v/>
      </c>
      <c r="P403" t="str">
        <f t="shared" si="28"/>
        <v/>
      </c>
      <c r="Q403" t="str">
        <f t="shared" si="29"/>
        <v/>
      </c>
      <c r="R403">
        <v>1</v>
      </c>
    </row>
    <row r="404" spans="1:18">
      <c r="A404">
        <f>'PSP Data'!A407</f>
        <v>0</v>
      </c>
      <c r="B404" t="str">
        <f>IF('PSP Data'!B407=0,"",'PSP Data'!B407)</f>
        <v/>
      </c>
      <c r="C404">
        <f>'PSP Data'!C407</f>
        <v>0</v>
      </c>
      <c r="D404">
        <f>'PSP Data'!D407</f>
        <v>0</v>
      </c>
      <c r="E404">
        <f>'PSP Data'!E407</f>
        <v>0</v>
      </c>
      <c r="F404">
        <f>'PSP Data'!F407</f>
        <v>0</v>
      </c>
      <c r="G404">
        <f>'PSP Data'!G407</f>
        <v>0</v>
      </c>
      <c r="H404">
        <f>'PSP Data'!H407</f>
        <v>0</v>
      </c>
      <c r="I404">
        <f>'PSP Data'!I407</f>
        <v>0</v>
      </c>
      <c r="J404" s="29" t="e">
        <f t="shared" si="25"/>
        <v>#N/A</v>
      </c>
      <c r="K404" s="29" t="e">
        <f>IF(AND((A404&lt;'PSP Data'!$C$11),(A404&lt;&gt;0)),Analysis!C404,#N/A)</f>
        <v>#N/A</v>
      </c>
      <c r="L404" t="e">
        <f>IF(VLOOKUP(B404,Table1[],4)=0,"unknown", VLOOKUP(B404,Table1[],4))</f>
        <v>#N/A</v>
      </c>
      <c r="M404">
        <v>1</v>
      </c>
      <c r="N404" t="e">
        <f t="shared" si="26"/>
        <v>#N/A</v>
      </c>
      <c r="O404" t="str">
        <f t="shared" si="27"/>
        <v/>
      </c>
      <c r="P404" t="str">
        <f t="shared" si="28"/>
        <v/>
      </c>
      <c r="Q404" t="str">
        <f t="shared" si="29"/>
        <v/>
      </c>
      <c r="R404">
        <v>1</v>
      </c>
    </row>
    <row r="405" spans="1:18">
      <c r="A405">
        <f>'PSP Data'!A408</f>
        <v>0</v>
      </c>
      <c r="B405" t="str">
        <f>IF('PSP Data'!B408=0,"",'PSP Data'!B408)</f>
        <v/>
      </c>
      <c r="C405">
        <f>'PSP Data'!C408</f>
        <v>0</v>
      </c>
      <c r="D405">
        <f>'PSP Data'!D408</f>
        <v>0</v>
      </c>
      <c r="E405">
        <f>'PSP Data'!E408</f>
        <v>0</v>
      </c>
      <c r="F405">
        <f>'PSP Data'!F408</f>
        <v>0</v>
      </c>
      <c r="G405">
        <f>'PSP Data'!G408</f>
        <v>0</v>
      </c>
      <c r="H405">
        <f>'PSP Data'!H408</f>
        <v>0</v>
      </c>
      <c r="I405">
        <f>'PSP Data'!I408</f>
        <v>0</v>
      </c>
      <c r="J405" s="29" t="e">
        <f t="shared" si="25"/>
        <v>#N/A</v>
      </c>
      <c r="K405" s="29" t="e">
        <f>IF(AND((A405&lt;'PSP Data'!$C$11),(A405&lt;&gt;0)),Analysis!C405,#N/A)</f>
        <v>#N/A</v>
      </c>
      <c r="L405" t="e">
        <f>IF(VLOOKUP(B405,Table1[],4)=0,"unknown", VLOOKUP(B405,Table1[],4))</f>
        <v>#N/A</v>
      </c>
      <c r="M405">
        <v>1</v>
      </c>
      <c r="N405" t="e">
        <f t="shared" si="26"/>
        <v>#N/A</v>
      </c>
      <c r="O405" t="str">
        <f t="shared" si="27"/>
        <v/>
      </c>
      <c r="P405" t="str">
        <f t="shared" si="28"/>
        <v/>
      </c>
      <c r="Q405" t="str">
        <f t="shared" si="29"/>
        <v/>
      </c>
      <c r="R405">
        <v>1</v>
      </c>
    </row>
    <row r="406" spans="1:18">
      <c r="A406">
        <f>'PSP Data'!A409</f>
        <v>0</v>
      </c>
      <c r="B406" t="str">
        <f>IF('PSP Data'!B409=0,"",'PSP Data'!B409)</f>
        <v/>
      </c>
      <c r="C406">
        <f>'PSP Data'!C409</f>
        <v>0</v>
      </c>
      <c r="D406">
        <f>'PSP Data'!D409</f>
        <v>0</v>
      </c>
      <c r="E406">
        <f>'PSP Data'!E409</f>
        <v>0</v>
      </c>
      <c r="F406">
        <f>'PSP Data'!F409</f>
        <v>0</v>
      </c>
      <c r="G406">
        <f>'PSP Data'!G409</f>
        <v>0</v>
      </c>
      <c r="H406">
        <f>'PSP Data'!H409</f>
        <v>0</v>
      </c>
      <c r="I406">
        <f>'PSP Data'!I409</f>
        <v>0</v>
      </c>
      <c r="J406" s="29" t="e">
        <f t="shared" ref="J406:J469" si="30">IF(C406&gt;=25,C406,#N/A)</f>
        <v>#N/A</v>
      </c>
      <c r="K406" s="29" t="e">
        <f>IF(AND((A406&lt;'PSP Data'!$C$11),(A406&lt;&gt;0)),Analysis!C406,#N/A)</f>
        <v>#N/A</v>
      </c>
      <c r="L406" t="e">
        <f>IF(VLOOKUP(B406,Table1[],4)=0,"unknown", VLOOKUP(B406,Table1[],4))</f>
        <v>#N/A</v>
      </c>
      <c r="M406">
        <v>1</v>
      </c>
      <c r="N406" t="e">
        <f t="shared" ref="N406:N469" si="31">IF(L406="timber",B406,"")</f>
        <v>#N/A</v>
      </c>
      <c r="O406" t="str">
        <f t="shared" ref="O406:O469" si="32">IF(D406="y",B406,"")</f>
        <v/>
      </c>
      <c r="P406" t="str">
        <f t="shared" ref="P406:P469" si="33">IF(F406="y",B406,"")</f>
        <v/>
      </c>
      <c r="Q406" t="str">
        <f t="shared" ref="Q406:Q469" si="34">IF(B406="","",ISNUMBER(FIND("Dead wood",B406:B1285)))</f>
        <v/>
      </c>
      <c r="R406">
        <v>1</v>
      </c>
    </row>
    <row r="407" spans="1:18">
      <c r="A407">
        <f>'PSP Data'!A410</f>
        <v>0</v>
      </c>
      <c r="B407" t="str">
        <f>IF('PSP Data'!B410=0,"",'PSP Data'!B410)</f>
        <v/>
      </c>
      <c r="C407">
        <f>'PSP Data'!C410</f>
        <v>0</v>
      </c>
      <c r="D407">
        <f>'PSP Data'!D410</f>
        <v>0</v>
      </c>
      <c r="E407">
        <f>'PSP Data'!E410</f>
        <v>0</v>
      </c>
      <c r="F407">
        <f>'PSP Data'!F410</f>
        <v>0</v>
      </c>
      <c r="G407">
        <f>'PSP Data'!G410</f>
        <v>0</v>
      </c>
      <c r="H407">
        <f>'PSP Data'!H410</f>
        <v>0</v>
      </c>
      <c r="I407">
        <f>'PSP Data'!I410</f>
        <v>0</v>
      </c>
      <c r="J407" s="29" t="e">
        <f t="shared" si="30"/>
        <v>#N/A</v>
      </c>
      <c r="K407" s="29" t="e">
        <f>IF(AND((A407&lt;'PSP Data'!$C$11),(A407&lt;&gt;0)),Analysis!C407,#N/A)</f>
        <v>#N/A</v>
      </c>
      <c r="L407" t="e">
        <f>IF(VLOOKUP(B407,Table1[],4)=0,"unknown", VLOOKUP(B407,Table1[],4))</f>
        <v>#N/A</v>
      </c>
      <c r="M407">
        <v>1</v>
      </c>
      <c r="N407" t="e">
        <f t="shared" si="31"/>
        <v>#N/A</v>
      </c>
      <c r="O407" t="str">
        <f t="shared" si="32"/>
        <v/>
      </c>
      <c r="P407" t="str">
        <f t="shared" si="33"/>
        <v/>
      </c>
      <c r="Q407" t="str">
        <f t="shared" si="34"/>
        <v/>
      </c>
      <c r="R407">
        <v>1</v>
      </c>
    </row>
    <row r="408" spans="1:18">
      <c r="A408">
        <f>'PSP Data'!A411</f>
        <v>0</v>
      </c>
      <c r="B408" t="str">
        <f>IF('PSP Data'!B411=0,"",'PSP Data'!B411)</f>
        <v/>
      </c>
      <c r="C408">
        <f>'PSP Data'!C411</f>
        <v>0</v>
      </c>
      <c r="D408">
        <f>'PSP Data'!D411</f>
        <v>0</v>
      </c>
      <c r="E408">
        <f>'PSP Data'!E411</f>
        <v>0</v>
      </c>
      <c r="F408">
        <f>'PSP Data'!F411</f>
        <v>0</v>
      </c>
      <c r="G408">
        <f>'PSP Data'!G411</f>
        <v>0</v>
      </c>
      <c r="H408">
        <f>'PSP Data'!H411</f>
        <v>0</v>
      </c>
      <c r="I408">
        <f>'PSP Data'!I411</f>
        <v>0</v>
      </c>
      <c r="J408" s="29" t="e">
        <f t="shared" si="30"/>
        <v>#N/A</v>
      </c>
      <c r="K408" s="29" t="e">
        <f>IF(AND((A408&lt;'PSP Data'!$C$11),(A408&lt;&gt;0)),Analysis!C408,#N/A)</f>
        <v>#N/A</v>
      </c>
      <c r="L408" t="e">
        <f>IF(VLOOKUP(B408,Table1[],4)=0,"unknown", VLOOKUP(B408,Table1[],4))</f>
        <v>#N/A</v>
      </c>
      <c r="M408">
        <v>1</v>
      </c>
      <c r="N408" t="e">
        <f t="shared" si="31"/>
        <v>#N/A</v>
      </c>
      <c r="O408" t="str">
        <f t="shared" si="32"/>
        <v/>
      </c>
      <c r="P408" t="str">
        <f t="shared" si="33"/>
        <v/>
      </c>
      <c r="Q408" t="str">
        <f t="shared" si="34"/>
        <v/>
      </c>
      <c r="R408">
        <v>1</v>
      </c>
    </row>
    <row r="409" spans="1:18">
      <c r="A409">
        <f>'PSP Data'!A412</f>
        <v>0</v>
      </c>
      <c r="B409" t="str">
        <f>IF('PSP Data'!B412=0,"",'PSP Data'!B412)</f>
        <v/>
      </c>
      <c r="C409">
        <f>'PSP Data'!C412</f>
        <v>0</v>
      </c>
      <c r="D409">
        <f>'PSP Data'!D412</f>
        <v>0</v>
      </c>
      <c r="E409">
        <f>'PSP Data'!E412</f>
        <v>0</v>
      </c>
      <c r="F409">
        <f>'PSP Data'!F412</f>
        <v>0</v>
      </c>
      <c r="G409">
        <f>'PSP Data'!G412</f>
        <v>0</v>
      </c>
      <c r="H409">
        <f>'PSP Data'!H412</f>
        <v>0</v>
      </c>
      <c r="I409">
        <f>'PSP Data'!I412</f>
        <v>0</v>
      </c>
      <c r="J409" s="29" t="e">
        <f t="shared" si="30"/>
        <v>#N/A</v>
      </c>
      <c r="K409" s="29" t="e">
        <f>IF(AND((A409&lt;'PSP Data'!$C$11),(A409&lt;&gt;0)),Analysis!C409,#N/A)</f>
        <v>#N/A</v>
      </c>
      <c r="L409" t="e">
        <f>IF(VLOOKUP(B409,Table1[],4)=0,"unknown", VLOOKUP(B409,Table1[],4))</f>
        <v>#N/A</v>
      </c>
      <c r="M409">
        <v>1</v>
      </c>
      <c r="N409" t="e">
        <f t="shared" si="31"/>
        <v>#N/A</v>
      </c>
      <c r="O409" t="str">
        <f t="shared" si="32"/>
        <v/>
      </c>
      <c r="P409" t="str">
        <f t="shared" si="33"/>
        <v/>
      </c>
      <c r="Q409" t="str">
        <f t="shared" si="34"/>
        <v/>
      </c>
      <c r="R409">
        <v>1</v>
      </c>
    </row>
    <row r="410" spans="1:18">
      <c r="A410">
        <f>'PSP Data'!A413</f>
        <v>0</v>
      </c>
      <c r="B410" t="str">
        <f>IF('PSP Data'!B413=0,"",'PSP Data'!B413)</f>
        <v/>
      </c>
      <c r="C410">
        <f>'PSP Data'!C413</f>
        <v>0</v>
      </c>
      <c r="D410">
        <f>'PSP Data'!D413</f>
        <v>0</v>
      </c>
      <c r="E410">
        <f>'PSP Data'!E413</f>
        <v>0</v>
      </c>
      <c r="F410">
        <f>'PSP Data'!F413</f>
        <v>0</v>
      </c>
      <c r="G410">
        <f>'PSP Data'!G413</f>
        <v>0</v>
      </c>
      <c r="H410">
        <f>'PSP Data'!H413</f>
        <v>0</v>
      </c>
      <c r="I410">
        <f>'PSP Data'!I413</f>
        <v>0</v>
      </c>
      <c r="J410" s="29" t="e">
        <f t="shared" si="30"/>
        <v>#N/A</v>
      </c>
      <c r="K410" s="29" t="e">
        <f>IF(AND((A410&lt;'PSP Data'!$C$11),(A410&lt;&gt;0)),Analysis!C410,#N/A)</f>
        <v>#N/A</v>
      </c>
      <c r="L410" t="e">
        <f>IF(VLOOKUP(B410,Table1[],4)=0,"unknown", VLOOKUP(B410,Table1[],4))</f>
        <v>#N/A</v>
      </c>
      <c r="M410">
        <v>1</v>
      </c>
      <c r="N410" t="e">
        <f t="shared" si="31"/>
        <v>#N/A</v>
      </c>
      <c r="O410" t="str">
        <f t="shared" si="32"/>
        <v/>
      </c>
      <c r="P410" t="str">
        <f t="shared" si="33"/>
        <v/>
      </c>
      <c r="Q410" t="str">
        <f t="shared" si="34"/>
        <v/>
      </c>
      <c r="R410">
        <v>1</v>
      </c>
    </row>
    <row r="411" spans="1:18">
      <c r="A411">
        <f>'PSP Data'!A414</f>
        <v>0</v>
      </c>
      <c r="B411" t="str">
        <f>IF('PSP Data'!B414=0,"",'PSP Data'!B414)</f>
        <v/>
      </c>
      <c r="C411">
        <f>'PSP Data'!C414</f>
        <v>0</v>
      </c>
      <c r="D411">
        <f>'PSP Data'!D414</f>
        <v>0</v>
      </c>
      <c r="E411">
        <f>'PSP Data'!E414</f>
        <v>0</v>
      </c>
      <c r="F411">
        <f>'PSP Data'!F414</f>
        <v>0</v>
      </c>
      <c r="G411">
        <f>'PSP Data'!G414</f>
        <v>0</v>
      </c>
      <c r="H411">
        <f>'PSP Data'!H414</f>
        <v>0</v>
      </c>
      <c r="I411">
        <f>'PSP Data'!I414</f>
        <v>0</v>
      </c>
      <c r="J411" s="29" t="e">
        <f t="shared" si="30"/>
        <v>#N/A</v>
      </c>
      <c r="K411" s="29" t="e">
        <f>IF(AND((A411&lt;'PSP Data'!$C$11),(A411&lt;&gt;0)),Analysis!C411,#N/A)</f>
        <v>#N/A</v>
      </c>
      <c r="L411" t="e">
        <f>IF(VLOOKUP(B411,Table1[],4)=0,"unknown", VLOOKUP(B411,Table1[],4))</f>
        <v>#N/A</v>
      </c>
      <c r="M411">
        <v>1</v>
      </c>
      <c r="N411" t="e">
        <f t="shared" si="31"/>
        <v>#N/A</v>
      </c>
      <c r="O411" t="str">
        <f t="shared" si="32"/>
        <v/>
      </c>
      <c r="P411" t="str">
        <f t="shared" si="33"/>
        <v/>
      </c>
      <c r="Q411" t="str">
        <f t="shared" si="34"/>
        <v/>
      </c>
      <c r="R411">
        <v>1</v>
      </c>
    </row>
    <row r="412" spans="1:18">
      <c r="A412">
        <f>'PSP Data'!A415</f>
        <v>0</v>
      </c>
      <c r="B412" t="str">
        <f>IF('PSP Data'!B415=0,"",'PSP Data'!B415)</f>
        <v/>
      </c>
      <c r="C412">
        <f>'PSP Data'!C415</f>
        <v>0</v>
      </c>
      <c r="D412">
        <f>'PSP Data'!D415</f>
        <v>0</v>
      </c>
      <c r="E412">
        <f>'PSP Data'!E415</f>
        <v>0</v>
      </c>
      <c r="F412">
        <f>'PSP Data'!F415</f>
        <v>0</v>
      </c>
      <c r="G412">
        <f>'PSP Data'!G415</f>
        <v>0</v>
      </c>
      <c r="H412">
        <f>'PSP Data'!H415</f>
        <v>0</v>
      </c>
      <c r="I412">
        <f>'PSP Data'!I415</f>
        <v>0</v>
      </c>
      <c r="J412" s="29" t="e">
        <f t="shared" si="30"/>
        <v>#N/A</v>
      </c>
      <c r="K412" s="29" t="e">
        <f>IF(AND((A412&lt;'PSP Data'!$C$11),(A412&lt;&gt;0)),Analysis!C412,#N/A)</f>
        <v>#N/A</v>
      </c>
      <c r="L412" t="e">
        <f>IF(VLOOKUP(B412,Table1[],4)=0,"unknown", VLOOKUP(B412,Table1[],4))</f>
        <v>#N/A</v>
      </c>
      <c r="M412">
        <v>1</v>
      </c>
      <c r="N412" t="e">
        <f t="shared" si="31"/>
        <v>#N/A</v>
      </c>
      <c r="O412" t="str">
        <f t="shared" si="32"/>
        <v/>
      </c>
      <c r="P412" t="str">
        <f t="shared" si="33"/>
        <v/>
      </c>
      <c r="Q412" t="str">
        <f t="shared" si="34"/>
        <v/>
      </c>
      <c r="R412">
        <v>1</v>
      </c>
    </row>
    <row r="413" spans="1:18">
      <c r="A413">
        <f>'PSP Data'!A416</f>
        <v>0</v>
      </c>
      <c r="B413" t="str">
        <f>IF('PSP Data'!B416=0,"",'PSP Data'!B416)</f>
        <v/>
      </c>
      <c r="C413">
        <f>'PSP Data'!C416</f>
        <v>0</v>
      </c>
      <c r="D413">
        <f>'PSP Data'!D416</f>
        <v>0</v>
      </c>
      <c r="E413">
        <f>'PSP Data'!E416</f>
        <v>0</v>
      </c>
      <c r="F413">
        <f>'PSP Data'!F416</f>
        <v>0</v>
      </c>
      <c r="G413">
        <f>'PSP Data'!G416</f>
        <v>0</v>
      </c>
      <c r="H413">
        <f>'PSP Data'!H416</f>
        <v>0</v>
      </c>
      <c r="I413">
        <f>'PSP Data'!I416</f>
        <v>0</v>
      </c>
      <c r="J413" s="29" t="e">
        <f t="shared" si="30"/>
        <v>#N/A</v>
      </c>
      <c r="K413" s="29" t="e">
        <f>IF(AND((A413&lt;'PSP Data'!$C$11),(A413&lt;&gt;0)),Analysis!C413,#N/A)</f>
        <v>#N/A</v>
      </c>
      <c r="L413" t="e">
        <f>IF(VLOOKUP(B413,Table1[],4)=0,"unknown", VLOOKUP(B413,Table1[],4))</f>
        <v>#N/A</v>
      </c>
      <c r="M413">
        <v>1</v>
      </c>
      <c r="N413" t="e">
        <f t="shared" si="31"/>
        <v>#N/A</v>
      </c>
      <c r="O413" t="str">
        <f t="shared" si="32"/>
        <v/>
      </c>
      <c r="P413" t="str">
        <f t="shared" si="33"/>
        <v/>
      </c>
      <c r="Q413" t="str">
        <f t="shared" si="34"/>
        <v/>
      </c>
      <c r="R413">
        <v>1</v>
      </c>
    </row>
    <row r="414" spans="1:18">
      <c r="A414">
        <f>'PSP Data'!A417</f>
        <v>0</v>
      </c>
      <c r="B414" t="str">
        <f>IF('PSP Data'!B417=0,"",'PSP Data'!B417)</f>
        <v/>
      </c>
      <c r="C414">
        <f>'PSP Data'!C417</f>
        <v>0</v>
      </c>
      <c r="D414">
        <f>'PSP Data'!D417</f>
        <v>0</v>
      </c>
      <c r="E414">
        <f>'PSP Data'!E417</f>
        <v>0</v>
      </c>
      <c r="F414">
        <f>'PSP Data'!F417</f>
        <v>0</v>
      </c>
      <c r="G414">
        <f>'PSP Data'!G417</f>
        <v>0</v>
      </c>
      <c r="H414">
        <f>'PSP Data'!H417</f>
        <v>0</v>
      </c>
      <c r="I414">
        <f>'PSP Data'!I417</f>
        <v>0</v>
      </c>
      <c r="J414" s="29" t="e">
        <f t="shared" si="30"/>
        <v>#N/A</v>
      </c>
      <c r="K414" s="29" t="e">
        <f>IF(AND((A414&lt;'PSP Data'!$C$11),(A414&lt;&gt;0)),Analysis!C414,#N/A)</f>
        <v>#N/A</v>
      </c>
      <c r="L414" t="e">
        <f>IF(VLOOKUP(B414,Table1[],4)=0,"unknown", VLOOKUP(B414,Table1[],4))</f>
        <v>#N/A</v>
      </c>
      <c r="M414">
        <v>1</v>
      </c>
      <c r="N414" t="e">
        <f t="shared" si="31"/>
        <v>#N/A</v>
      </c>
      <c r="O414" t="str">
        <f t="shared" si="32"/>
        <v/>
      </c>
      <c r="P414" t="str">
        <f t="shared" si="33"/>
        <v/>
      </c>
      <c r="Q414" t="str">
        <f t="shared" si="34"/>
        <v/>
      </c>
      <c r="R414">
        <v>1</v>
      </c>
    </row>
    <row r="415" spans="1:18">
      <c r="A415">
        <f>'PSP Data'!A418</f>
        <v>0</v>
      </c>
      <c r="B415" t="str">
        <f>IF('PSP Data'!B418=0,"",'PSP Data'!B418)</f>
        <v/>
      </c>
      <c r="C415">
        <f>'PSP Data'!C418</f>
        <v>0</v>
      </c>
      <c r="D415">
        <f>'PSP Data'!D418</f>
        <v>0</v>
      </c>
      <c r="E415">
        <f>'PSP Data'!E418</f>
        <v>0</v>
      </c>
      <c r="F415">
        <f>'PSP Data'!F418</f>
        <v>0</v>
      </c>
      <c r="G415">
        <f>'PSP Data'!G418</f>
        <v>0</v>
      </c>
      <c r="H415">
        <f>'PSP Data'!H418</f>
        <v>0</v>
      </c>
      <c r="I415">
        <f>'PSP Data'!I418</f>
        <v>0</v>
      </c>
      <c r="J415" s="29" t="e">
        <f t="shared" si="30"/>
        <v>#N/A</v>
      </c>
      <c r="K415" s="29" t="e">
        <f>IF(AND((A415&lt;'PSP Data'!$C$11),(A415&lt;&gt;0)),Analysis!C415,#N/A)</f>
        <v>#N/A</v>
      </c>
      <c r="L415" t="e">
        <f>IF(VLOOKUP(B415,Table1[],4)=0,"unknown", VLOOKUP(B415,Table1[],4))</f>
        <v>#N/A</v>
      </c>
      <c r="M415">
        <v>1</v>
      </c>
      <c r="N415" t="e">
        <f t="shared" si="31"/>
        <v>#N/A</v>
      </c>
      <c r="O415" t="str">
        <f t="shared" si="32"/>
        <v/>
      </c>
      <c r="P415" t="str">
        <f t="shared" si="33"/>
        <v/>
      </c>
      <c r="Q415" t="str">
        <f t="shared" si="34"/>
        <v/>
      </c>
      <c r="R415">
        <v>1</v>
      </c>
    </row>
    <row r="416" spans="1:18">
      <c r="A416">
        <f>'PSP Data'!A419</f>
        <v>0</v>
      </c>
      <c r="B416" t="str">
        <f>IF('PSP Data'!B419=0,"",'PSP Data'!B419)</f>
        <v/>
      </c>
      <c r="C416">
        <f>'PSP Data'!C419</f>
        <v>0</v>
      </c>
      <c r="D416">
        <f>'PSP Data'!D419</f>
        <v>0</v>
      </c>
      <c r="E416">
        <f>'PSP Data'!E419</f>
        <v>0</v>
      </c>
      <c r="F416">
        <f>'PSP Data'!F419</f>
        <v>0</v>
      </c>
      <c r="G416">
        <f>'PSP Data'!G419</f>
        <v>0</v>
      </c>
      <c r="H416">
        <f>'PSP Data'!H419</f>
        <v>0</v>
      </c>
      <c r="I416">
        <f>'PSP Data'!I419</f>
        <v>0</v>
      </c>
      <c r="J416" s="29" t="e">
        <f t="shared" si="30"/>
        <v>#N/A</v>
      </c>
      <c r="K416" s="29" t="e">
        <f>IF(AND((A416&lt;'PSP Data'!$C$11),(A416&lt;&gt;0)),Analysis!C416,#N/A)</f>
        <v>#N/A</v>
      </c>
      <c r="L416" t="e">
        <f>IF(VLOOKUP(B416,Table1[],4)=0,"unknown", VLOOKUP(B416,Table1[],4))</f>
        <v>#N/A</v>
      </c>
      <c r="M416">
        <v>1</v>
      </c>
      <c r="N416" t="e">
        <f t="shared" si="31"/>
        <v>#N/A</v>
      </c>
      <c r="O416" t="str">
        <f t="shared" si="32"/>
        <v/>
      </c>
      <c r="P416" t="str">
        <f t="shared" si="33"/>
        <v/>
      </c>
      <c r="Q416" t="str">
        <f t="shared" si="34"/>
        <v/>
      </c>
      <c r="R416">
        <v>1</v>
      </c>
    </row>
    <row r="417" spans="1:18">
      <c r="A417">
        <f>'PSP Data'!A420</f>
        <v>0</v>
      </c>
      <c r="B417" t="str">
        <f>IF('PSP Data'!B420=0,"",'PSP Data'!B420)</f>
        <v/>
      </c>
      <c r="C417">
        <f>'PSP Data'!C420</f>
        <v>0</v>
      </c>
      <c r="D417">
        <f>'PSP Data'!D420</f>
        <v>0</v>
      </c>
      <c r="E417">
        <f>'PSP Data'!E420</f>
        <v>0</v>
      </c>
      <c r="F417">
        <f>'PSP Data'!F420</f>
        <v>0</v>
      </c>
      <c r="G417">
        <f>'PSP Data'!G420</f>
        <v>0</v>
      </c>
      <c r="H417">
        <f>'PSP Data'!H420</f>
        <v>0</v>
      </c>
      <c r="I417">
        <f>'PSP Data'!I420</f>
        <v>0</v>
      </c>
      <c r="J417" s="29" t="e">
        <f t="shared" si="30"/>
        <v>#N/A</v>
      </c>
      <c r="K417" s="29" t="e">
        <f>IF(AND((A417&lt;'PSP Data'!$C$11),(A417&lt;&gt;0)),Analysis!C417,#N/A)</f>
        <v>#N/A</v>
      </c>
      <c r="L417" t="e">
        <f>IF(VLOOKUP(B417,Table1[],4)=0,"unknown", VLOOKUP(B417,Table1[],4))</f>
        <v>#N/A</v>
      </c>
      <c r="M417">
        <v>1</v>
      </c>
      <c r="N417" t="e">
        <f t="shared" si="31"/>
        <v>#N/A</v>
      </c>
      <c r="O417" t="str">
        <f t="shared" si="32"/>
        <v/>
      </c>
      <c r="P417" t="str">
        <f t="shared" si="33"/>
        <v/>
      </c>
      <c r="Q417" t="str">
        <f t="shared" si="34"/>
        <v/>
      </c>
      <c r="R417">
        <v>1</v>
      </c>
    </row>
    <row r="418" spans="1:18">
      <c r="A418">
        <f>'PSP Data'!A421</f>
        <v>0</v>
      </c>
      <c r="B418" t="str">
        <f>IF('PSP Data'!B421=0,"",'PSP Data'!B421)</f>
        <v/>
      </c>
      <c r="C418">
        <f>'PSP Data'!C421</f>
        <v>0</v>
      </c>
      <c r="D418">
        <f>'PSP Data'!D421</f>
        <v>0</v>
      </c>
      <c r="E418">
        <f>'PSP Data'!E421</f>
        <v>0</v>
      </c>
      <c r="F418">
        <f>'PSP Data'!F421</f>
        <v>0</v>
      </c>
      <c r="G418">
        <f>'PSP Data'!G421</f>
        <v>0</v>
      </c>
      <c r="H418">
        <f>'PSP Data'!H421</f>
        <v>0</v>
      </c>
      <c r="I418">
        <f>'PSP Data'!I421</f>
        <v>0</v>
      </c>
      <c r="J418" s="29" t="e">
        <f t="shared" si="30"/>
        <v>#N/A</v>
      </c>
      <c r="K418" s="29" t="e">
        <f>IF(AND((A418&lt;'PSP Data'!$C$11),(A418&lt;&gt;0)),Analysis!C418,#N/A)</f>
        <v>#N/A</v>
      </c>
      <c r="L418" t="e">
        <f>IF(VLOOKUP(B418,Table1[],4)=0,"unknown", VLOOKUP(B418,Table1[],4))</f>
        <v>#N/A</v>
      </c>
      <c r="M418">
        <v>1</v>
      </c>
      <c r="N418" t="e">
        <f t="shared" si="31"/>
        <v>#N/A</v>
      </c>
      <c r="O418" t="str">
        <f t="shared" si="32"/>
        <v/>
      </c>
      <c r="P418" t="str">
        <f t="shared" si="33"/>
        <v/>
      </c>
      <c r="Q418" t="str">
        <f t="shared" si="34"/>
        <v/>
      </c>
      <c r="R418">
        <v>1</v>
      </c>
    </row>
    <row r="419" spans="1:18">
      <c r="A419">
        <f>'PSP Data'!A422</f>
        <v>0</v>
      </c>
      <c r="B419" t="str">
        <f>IF('PSP Data'!B422=0,"",'PSP Data'!B422)</f>
        <v/>
      </c>
      <c r="C419">
        <f>'PSP Data'!C422</f>
        <v>0</v>
      </c>
      <c r="D419">
        <f>'PSP Data'!D422</f>
        <v>0</v>
      </c>
      <c r="E419">
        <f>'PSP Data'!E422</f>
        <v>0</v>
      </c>
      <c r="F419">
        <f>'PSP Data'!F422</f>
        <v>0</v>
      </c>
      <c r="G419">
        <f>'PSP Data'!G422</f>
        <v>0</v>
      </c>
      <c r="H419">
        <f>'PSP Data'!H422</f>
        <v>0</v>
      </c>
      <c r="I419">
        <f>'PSP Data'!I422</f>
        <v>0</v>
      </c>
      <c r="J419" s="29" t="e">
        <f t="shared" si="30"/>
        <v>#N/A</v>
      </c>
      <c r="K419" s="29" t="e">
        <f>IF(AND((A419&lt;'PSP Data'!$C$11),(A419&lt;&gt;0)),Analysis!C419,#N/A)</f>
        <v>#N/A</v>
      </c>
      <c r="L419" t="e">
        <f>IF(VLOOKUP(B419,Table1[],4)=0,"unknown", VLOOKUP(B419,Table1[],4))</f>
        <v>#N/A</v>
      </c>
      <c r="M419">
        <v>1</v>
      </c>
      <c r="N419" t="e">
        <f t="shared" si="31"/>
        <v>#N/A</v>
      </c>
      <c r="O419" t="str">
        <f t="shared" si="32"/>
        <v/>
      </c>
      <c r="P419" t="str">
        <f t="shared" si="33"/>
        <v/>
      </c>
      <c r="Q419" t="str">
        <f t="shared" si="34"/>
        <v/>
      </c>
      <c r="R419">
        <v>1</v>
      </c>
    </row>
    <row r="420" spans="1:18">
      <c r="A420">
        <f>'PSP Data'!A423</f>
        <v>0</v>
      </c>
      <c r="B420" t="str">
        <f>IF('PSP Data'!B423=0,"",'PSP Data'!B423)</f>
        <v/>
      </c>
      <c r="C420">
        <f>'PSP Data'!C423</f>
        <v>0</v>
      </c>
      <c r="D420">
        <f>'PSP Data'!D423</f>
        <v>0</v>
      </c>
      <c r="E420">
        <f>'PSP Data'!E423</f>
        <v>0</v>
      </c>
      <c r="F420">
        <f>'PSP Data'!F423</f>
        <v>0</v>
      </c>
      <c r="G420">
        <f>'PSP Data'!G423</f>
        <v>0</v>
      </c>
      <c r="H420">
        <f>'PSP Data'!H423</f>
        <v>0</v>
      </c>
      <c r="I420">
        <f>'PSP Data'!I423</f>
        <v>0</v>
      </c>
      <c r="J420" s="29" t="e">
        <f t="shared" si="30"/>
        <v>#N/A</v>
      </c>
      <c r="K420" s="29" t="e">
        <f>IF(AND((A420&lt;'PSP Data'!$C$11),(A420&lt;&gt;0)),Analysis!C420,#N/A)</f>
        <v>#N/A</v>
      </c>
      <c r="L420" t="e">
        <f>IF(VLOOKUP(B420,Table1[],4)=0,"unknown", VLOOKUP(B420,Table1[],4))</f>
        <v>#N/A</v>
      </c>
      <c r="M420">
        <v>1</v>
      </c>
      <c r="N420" t="e">
        <f t="shared" si="31"/>
        <v>#N/A</v>
      </c>
      <c r="O420" t="str">
        <f t="shared" si="32"/>
        <v/>
      </c>
      <c r="P420" t="str">
        <f t="shared" si="33"/>
        <v/>
      </c>
      <c r="Q420" t="str">
        <f t="shared" si="34"/>
        <v/>
      </c>
      <c r="R420">
        <v>1</v>
      </c>
    </row>
    <row r="421" spans="1:18">
      <c r="A421">
        <f>'PSP Data'!A424</f>
        <v>0</v>
      </c>
      <c r="B421" t="str">
        <f>IF('PSP Data'!B424=0,"",'PSP Data'!B424)</f>
        <v/>
      </c>
      <c r="C421">
        <f>'PSP Data'!C424</f>
        <v>0</v>
      </c>
      <c r="D421">
        <f>'PSP Data'!D424</f>
        <v>0</v>
      </c>
      <c r="E421">
        <f>'PSP Data'!E424</f>
        <v>0</v>
      </c>
      <c r="F421">
        <f>'PSP Data'!F424</f>
        <v>0</v>
      </c>
      <c r="G421">
        <f>'PSP Data'!G424</f>
        <v>0</v>
      </c>
      <c r="H421">
        <f>'PSP Data'!H424</f>
        <v>0</v>
      </c>
      <c r="I421">
        <f>'PSP Data'!I424</f>
        <v>0</v>
      </c>
      <c r="J421" s="29" t="e">
        <f t="shared" si="30"/>
        <v>#N/A</v>
      </c>
      <c r="K421" s="29" t="e">
        <f>IF(AND((A421&lt;'PSP Data'!$C$11),(A421&lt;&gt;0)),Analysis!C421,#N/A)</f>
        <v>#N/A</v>
      </c>
      <c r="L421" t="e">
        <f>IF(VLOOKUP(B421,Table1[],4)=0,"unknown", VLOOKUP(B421,Table1[],4))</f>
        <v>#N/A</v>
      </c>
      <c r="M421">
        <v>1</v>
      </c>
      <c r="N421" t="e">
        <f t="shared" si="31"/>
        <v>#N/A</v>
      </c>
      <c r="O421" t="str">
        <f t="shared" si="32"/>
        <v/>
      </c>
      <c r="P421" t="str">
        <f t="shared" si="33"/>
        <v/>
      </c>
      <c r="Q421" t="str">
        <f t="shared" si="34"/>
        <v/>
      </c>
      <c r="R421">
        <v>1</v>
      </c>
    </row>
    <row r="422" spans="1:18">
      <c r="A422">
        <f>'PSP Data'!A425</f>
        <v>0</v>
      </c>
      <c r="B422" t="str">
        <f>IF('PSP Data'!B425=0,"",'PSP Data'!B425)</f>
        <v/>
      </c>
      <c r="C422">
        <f>'PSP Data'!C425</f>
        <v>0</v>
      </c>
      <c r="D422">
        <f>'PSP Data'!D425</f>
        <v>0</v>
      </c>
      <c r="E422">
        <f>'PSP Data'!E425</f>
        <v>0</v>
      </c>
      <c r="F422">
        <f>'PSP Data'!F425</f>
        <v>0</v>
      </c>
      <c r="G422">
        <f>'PSP Data'!G425</f>
        <v>0</v>
      </c>
      <c r="H422">
        <f>'PSP Data'!H425</f>
        <v>0</v>
      </c>
      <c r="I422">
        <f>'PSP Data'!I425</f>
        <v>0</v>
      </c>
      <c r="J422" s="29" t="e">
        <f t="shared" si="30"/>
        <v>#N/A</v>
      </c>
      <c r="K422" s="29" t="e">
        <f>IF(AND((A422&lt;'PSP Data'!$C$11),(A422&lt;&gt;0)),Analysis!C422,#N/A)</f>
        <v>#N/A</v>
      </c>
      <c r="L422" t="e">
        <f>IF(VLOOKUP(B422,Table1[],4)=0,"unknown", VLOOKUP(B422,Table1[],4))</f>
        <v>#N/A</v>
      </c>
      <c r="M422">
        <v>1</v>
      </c>
      <c r="N422" t="e">
        <f t="shared" si="31"/>
        <v>#N/A</v>
      </c>
      <c r="O422" t="str">
        <f t="shared" si="32"/>
        <v/>
      </c>
      <c r="P422" t="str">
        <f t="shared" si="33"/>
        <v/>
      </c>
      <c r="Q422" t="str">
        <f t="shared" si="34"/>
        <v/>
      </c>
      <c r="R422">
        <v>1</v>
      </c>
    </row>
    <row r="423" spans="1:18">
      <c r="A423">
        <f>'PSP Data'!A426</f>
        <v>0</v>
      </c>
      <c r="B423" t="str">
        <f>IF('PSP Data'!B426=0,"",'PSP Data'!B426)</f>
        <v/>
      </c>
      <c r="C423">
        <f>'PSP Data'!C426</f>
        <v>0</v>
      </c>
      <c r="D423">
        <f>'PSP Data'!D426</f>
        <v>0</v>
      </c>
      <c r="E423">
        <f>'PSP Data'!E426</f>
        <v>0</v>
      </c>
      <c r="F423">
        <f>'PSP Data'!F426</f>
        <v>0</v>
      </c>
      <c r="G423">
        <f>'PSP Data'!G426</f>
        <v>0</v>
      </c>
      <c r="H423">
        <f>'PSP Data'!H426</f>
        <v>0</v>
      </c>
      <c r="I423">
        <f>'PSP Data'!I426</f>
        <v>0</v>
      </c>
      <c r="J423" s="29" t="e">
        <f t="shared" si="30"/>
        <v>#N/A</v>
      </c>
      <c r="K423" s="29" t="e">
        <f>IF(AND((A423&lt;'PSP Data'!$C$11),(A423&lt;&gt;0)),Analysis!C423,#N/A)</f>
        <v>#N/A</v>
      </c>
      <c r="L423" t="e">
        <f>IF(VLOOKUP(B423,Table1[],4)=0,"unknown", VLOOKUP(B423,Table1[],4))</f>
        <v>#N/A</v>
      </c>
      <c r="M423">
        <v>1</v>
      </c>
      <c r="N423" t="e">
        <f t="shared" si="31"/>
        <v>#N/A</v>
      </c>
      <c r="O423" t="str">
        <f t="shared" si="32"/>
        <v/>
      </c>
      <c r="P423" t="str">
        <f t="shared" si="33"/>
        <v/>
      </c>
      <c r="Q423" t="str">
        <f t="shared" si="34"/>
        <v/>
      </c>
      <c r="R423">
        <v>1</v>
      </c>
    </row>
    <row r="424" spans="1:18">
      <c r="A424">
        <f>'PSP Data'!A427</f>
        <v>0</v>
      </c>
      <c r="B424" t="str">
        <f>IF('PSP Data'!B427=0,"",'PSP Data'!B427)</f>
        <v/>
      </c>
      <c r="C424">
        <f>'PSP Data'!C427</f>
        <v>0</v>
      </c>
      <c r="D424">
        <f>'PSP Data'!D427</f>
        <v>0</v>
      </c>
      <c r="E424">
        <f>'PSP Data'!E427</f>
        <v>0</v>
      </c>
      <c r="F424">
        <f>'PSP Data'!F427</f>
        <v>0</v>
      </c>
      <c r="G424">
        <f>'PSP Data'!G427</f>
        <v>0</v>
      </c>
      <c r="H424">
        <f>'PSP Data'!H427</f>
        <v>0</v>
      </c>
      <c r="I424">
        <f>'PSP Data'!I427</f>
        <v>0</v>
      </c>
      <c r="J424" s="29" t="e">
        <f t="shared" si="30"/>
        <v>#N/A</v>
      </c>
      <c r="K424" s="29" t="e">
        <f>IF(AND((A424&lt;'PSP Data'!$C$11),(A424&lt;&gt;0)),Analysis!C424,#N/A)</f>
        <v>#N/A</v>
      </c>
      <c r="L424" t="e">
        <f>IF(VLOOKUP(B424,Table1[],4)=0,"unknown", VLOOKUP(B424,Table1[],4))</f>
        <v>#N/A</v>
      </c>
      <c r="M424">
        <v>1</v>
      </c>
      <c r="N424" t="e">
        <f t="shared" si="31"/>
        <v>#N/A</v>
      </c>
      <c r="O424" t="str">
        <f t="shared" si="32"/>
        <v/>
      </c>
      <c r="P424" t="str">
        <f t="shared" si="33"/>
        <v/>
      </c>
      <c r="Q424" t="str">
        <f t="shared" si="34"/>
        <v/>
      </c>
      <c r="R424">
        <v>1</v>
      </c>
    </row>
    <row r="425" spans="1:18">
      <c r="A425">
        <f>'PSP Data'!A428</f>
        <v>0</v>
      </c>
      <c r="B425" t="str">
        <f>IF('PSP Data'!B428=0,"",'PSP Data'!B428)</f>
        <v/>
      </c>
      <c r="C425">
        <f>'PSP Data'!C428</f>
        <v>0</v>
      </c>
      <c r="D425">
        <f>'PSP Data'!D428</f>
        <v>0</v>
      </c>
      <c r="E425">
        <f>'PSP Data'!E428</f>
        <v>0</v>
      </c>
      <c r="F425">
        <f>'PSP Data'!F428</f>
        <v>0</v>
      </c>
      <c r="G425">
        <f>'PSP Data'!G428</f>
        <v>0</v>
      </c>
      <c r="H425">
        <f>'PSP Data'!H428</f>
        <v>0</v>
      </c>
      <c r="I425">
        <f>'PSP Data'!I428</f>
        <v>0</v>
      </c>
      <c r="J425" s="29" t="e">
        <f t="shared" si="30"/>
        <v>#N/A</v>
      </c>
      <c r="K425" s="29" t="e">
        <f>IF(AND((A425&lt;'PSP Data'!$C$11),(A425&lt;&gt;0)),Analysis!C425,#N/A)</f>
        <v>#N/A</v>
      </c>
      <c r="L425" t="e">
        <f>IF(VLOOKUP(B425,Table1[],4)=0,"unknown", VLOOKUP(B425,Table1[],4))</f>
        <v>#N/A</v>
      </c>
      <c r="M425">
        <v>1</v>
      </c>
      <c r="N425" t="e">
        <f t="shared" si="31"/>
        <v>#N/A</v>
      </c>
      <c r="O425" t="str">
        <f t="shared" si="32"/>
        <v/>
      </c>
      <c r="P425" t="str">
        <f t="shared" si="33"/>
        <v/>
      </c>
      <c r="Q425" t="str">
        <f t="shared" si="34"/>
        <v/>
      </c>
      <c r="R425">
        <v>1</v>
      </c>
    </row>
    <row r="426" spans="1:18">
      <c r="A426">
        <f>'PSP Data'!A429</f>
        <v>0</v>
      </c>
      <c r="B426" t="str">
        <f>IF('PSP Data'!B429=0,"",'PSP Data'!B429)</f>
        <v/>
      </c>
      <c r="C426">
        <f>'PSP Data'!C429</f>
        <v>0</v>
      </c>
      <c r="D426">
        <f>'PSP Data'!D429</f>
        <v>0</v>
      </c>
      <c r="E426">
        <f>'PSP Data'!E429</f>
        <v>0</v>
      </c>
      <c r="F426">
        <f>'PSP Data'!F429</f>
        <v>0</v>
      </c>
      <c r="G426">
        <f>'PSP Data'!G429</f>
        <v>0</v>
      </c>
      <c r="H426">
        <f>'PSP Data'!H429</f>
        <v>0</v>
      </c>
      <c r="I426">
        <f>'PSP Data'!I429</f>
        <v>0</v>
      </c>
      <c r="J426" s="29" t="e">
        <f t="shared" si="30"/>
        <v>#N/A</v>
      </c>
      <c r="K426" s="29" t="e">
        <f>IF(AND((A426&lt;'PSP Data'!$C$11),(A426&lt;&gt;0)),Analysis!C426,#N/A)</f>
        <v>#N/A</v>
      </c>
      <c r="L426" t="e">
        <f>IF(VLOOKUP(B426,Table1[],4)=0,"unknown", VLOOKUP(B426,Table1[],4))</f>
        <v>#N/A</v>
      </c>
      <c r="M426">
        <v>1</v>
      </c>
      <c r="N426" t="e">
        <f t="shared" si="31"/>
        <v>#N/A</v>
      </c>
      <c r="O426" t="str">
        <f t="shared" si="32"/>
        <v/>
      </c>
      <c r="P426" t="str">
        <f t="shared" si="33"/>
        <v/>
      </c>
      <c r="Q426" t="str">
        <f t="shared" si="34"/>
        <v/>
      </c>
      <c r="R426">
        <v>1</v>
      </c>
    </row>
    <row r="427" spans="1:18">
      <c r="A427">
        <f>'PSP Data'!A430</f>
        <v>0</v>
      </c>
      <c r="B427" t="str">
        <f>IF('PSP Data'!B430=0,"",'PSP Data'!B430)</f>
        <v/>
      </c>
      <c r="C427">
        <f>'PSP Data'!C430</f>
        <v>0</v>
      </c>
      <c r="D427">
        <f>'PSP Data'!D430</f>
        <v>0</v>
      </c>
      <c r="E427">
        <f>'PSP Data'!E430</f>
        <v>0</v>
      </c>
      <c r="F427">
        <f>'PSP Data'!F430</f>
        <v>0</v>
      </c>
      <c r="G427">
        <f>'PSP Data'!G430</f>
        <v>0</v>
      </c>
      <c r="H427">
        <f>'PSP Data'!H430</f>
        <v>0</v>
      </c>
      <c r="I427">
        <f>'PSP Data'!I430</f>
        <v>0</v>
      </c>
      <c r="J427" s="29" t="e">
        <f t="shared" si="30"/>
        <v>#N/A</v>
      </c>
      <c r="K427" s="29" t="e">
        <f>IF(AND((A427&lt;'PSP Data'!$C$11),(A427&lt;&gt;0)),Analysis!C427,#N/A)</f>
        <v>#N/A</v>
      </c>
      <c r="L427" t="e">
        <f>IF(VLOOKUP(B427,Table1[],4)=0,"unknown", VLOOKUP(B427,Table1[],4))</f>
        <v>#N/A</v>
      </c>
      <c r="M427">
        <v>1</v>
      </c>
      <c r="N427" t="e">
        <f t="shared" si="31"/>
        <v>#N/A</v>
      </c>
      <c r="O427" t="str">
        <f t="shared" si="32"/>
        <v/>
      </c>
      <c r="P427" t="str">
        <f t="shared" si="33"/>
        <v/>
      </c>
      <c r="Q427" t="str">
        <f t="shared" si="34"/>
        <v/>
      </c>
      <c r="R427">
        <v>1</v>
      </c>
    </row>
    <row r="428" spans="1:18">
      <c r="A428">
        <f>'PSP Data'!A431</f>
        <v>0</v>
      </c>
      <c r="B428" t="str">
        <f>IF('PSP Data'!B431=0,"",'PSP Data'!B431)</f>
        <v/>
      </c>
      <c r="C428">
        <f>'PSP Data'!C431</f>
        <v>0</v>
      </c>
      <c r="D428">
        <f>'PSP Data'!D431</f>
        <v>0</v>
      </c>
      <c r="E428">
        <f>'PSP Data'!E431</f>
        <v>0</v>
      </c>
      <c r="F428">
        <f>'PSP Data'!F431</f>
        <v>0</v>
      </c>
      <c r="G428">
        <f>'PSP Data'!G431</f>
        <v>0</v>
      </c>
      <c r="H428">
        <f>'PSP Data'!H431</f>
        <v>0</v>
      </c>
      <c r="I428">
        <f>'PSP Data'!I431</f>
        <v>0</v>
      </c>
      <c r="J428" s="29" t="e">
        <f t="shared" si="30"/>
        <v>#N/A</v>
      </c>
      <c r="K428" s="29" t="e">
        <f>IF(AND((A428&lt;'PSP Data'!$C$11),(A428&lt;&gt;0)),Analysis!C428,#N/A)</f>
        <v>#N/A</v>
      </c>
      <c r="L428" t="e">
        <f>IF(VLOOKUP(B428,Table1[],4)=0,"unknown", VLOOKUP(B428,Table1[],4))</f>
        <v>#N/A</v>
      </c>
      <c r="M428">
        <v>1</v>
      </c>
      <c r="N428" t="e">
        <f t="shared" si="31"/>
        <v>#N/A</v>
      </c>
      <c r="O428" t="str">
        <f t="shared" si="32"/>
        <v/>
      </c>
      <c r="P428" t="str">
        <f t="shared" si="33"/>
        <v/>
      </c>
      <c r="Q428" t="str">
        <f t="shared" si="34"/>
        <v/>
      </c>
      <c r="R428">
        <v>1</v>
      </c>
    </row>
    <row r="429" spans="1:18">
      <c r="A429">
        <f>'PSP Data'!A432</f>
        <v>0</v>
      </c>
      <c r="B429" t="str">
        <f>IF('PSP Data'!B432=0,"",'PSP Data'!B432)</f>
        <v/>
      </c>
      <c r="C429">
        <f>'PSP Data'!C432</f>
        <v>0</v>
      </c>
      <c r="D429">
        <f>'PSP Data'!D432</f>
        <v>0</v>
      </c>
      <c r="E429">
        <f>'PSP Data'!E432</f>
        <v>0</v>
      </c>
      <c r="F429">
        <f>'PSP Data'!F432</f>
        <v>0</v>
      </c>
      <c r="G429">
        <f>'PSP Data'!G432</f>
        <v>0</v>
      </c>
      <c r="H429">
        <f>'PSP Data'!H432</f>
        <v>0</v>
      </c>
      <c r="I429">
        <f>'PSP Data'!I432</f>
        <v>0</v>
      </c>
      <c r="J429" s="29" t="e">
        <f t="shared" si="30"/>
        <v>#N/A</v>
      </c>
      <c r="K429" s="29" t="e">
        <f>IF(AND((A429&lt;'PSP Data'!$C$11),(A429&lt;&gt;0)),Analysis!C429,#N/A)</f>
        <v>#N/A</v>
      </c>
      <c r="L429" t="e">
        <f>IF(VLOOKUP(B429,Table1[],4)=0,"unknown", VLOOKUP(B429,Table1[],4))</f>
        <v>#N/A</v>
      </c>
      <c r="M429">
        <v>1</v>
      </c>
      <c r="N429" t="e">
        <f t="shared" si="31"/>
        <v>#N/A</v>
      </c>
      <c r="O429" t="str">
        <f t="shared" si="32"/>
        <v/>
      </c>
      <c r="P429" t="str">
        <f t="shared" si="33"/>
        <v/>
      </c>
      <c r="Q429" t="str">
        <f t="shared" si="34"/>
        <v/>
      </c>
      <c r="R429">
        <v>1</v>
      </c>
    </row>
    <row r="430" spans="1:18">
      <c r="A430">
        <f>'PSP Data'!A433</f>
        <v>0</v>
      </c>
      <c r="B430" t="str">
        <f>IF('PSP Data'!B433=0,"",'PSP Data'!B433)</f>
        <v/>
      </c>
      <c r="C430">
        <f>'PSP Data'!C433</f>
        <v>0</v>
      </c>
      <c r="D430">
        <f>'PSP Data'!D433</f>
        <v>0</v>
      </c>
      <c r="E430">
        <f>'PSP Data'!E433</f>
        <v>0</v>
      </c>
      <c r="F430">
        <f>'PSP Data'!F433</f>
        <v>0</v>
      </c>
      <c r="G430">
        <f>'PSP Data'!G433</f>
        <v>0</v>
      </c>
      <c r="H430">
        <f>'PSP Data'!H433</f>
        <v>0</v>
      </c>
      <c r="I430">
        <f>'PSP Data'!I433</f>
        <v>0</v>
      </c>
      <c r="J430" s="29" t="e">
        <f t="shared" si="30"/>
        <v>#N/A</v>
      </c>
      <c r="K430" s="29" t="e">
        <f>IF(AND((A430&lt;'PSP Data'!$C$11),(A430&lt;&gt;0)),Analysis!C430,#N/A)</f>
        <v>#N/A</v>
      </c>
      <c r="L430" t="e">
        <f>IF(VLOOKUP(B430,Table1[],4)=0,"unknown", VLOOKUP(B430,Table1[],4))</f>
        <v>#N/A</v>
      </c>
      <c r="M430">
        <v>1</v>
      </c>
      <c r="N430" t="e">
        <f t="shared" si="31"/>
        <v>#N/A</v>
      </c>
      <c r="O430" t="str">
        <f t="shared" si="32"/>
        <v/>
      </c>
      <c r="P430" t="str">
        <f t="shared" si="33"/>
        <v/>
      </c>
      <c r="Q430" t="str">
        <f t="shared" si="34"/>
        <v/>
      </c>
      <c r="R430">
        <v>1</v>
      </c>
    </row>
    <row r="431" spans="1:18">
      <c r="A431">
        <f>'PSP Data'!A434</f>
        <v>0</v>
      </c>
      <c r="B431" t="str">
        <f>IF('PSP Data'!B434=0,"",'PSP Data'!B434)</f>
        <v/>
      </c>
      <c r="C431">
        <f>'PSP Data'!C434</f>
        <v>0</v>
      </c>
      <c r="D431">
        <f>'PSP Data'!D434</f>
        <v>0</v>
      </c>
      <c r="E431">
        <f>'PSP Data'!E434</f>
        <v>0</v>
      </c>
      <c r="F431">
        <f>'PSP Data'!F434</f>
        <v>0</v>
      </c>
      <c r="G431">
        <f>'PSP Data'!G434</f>
        <v>0</v>
      </c>
      <c r="H431">
        <f>'PSP Data'!H434</f>
        <v>0</v>
      </c>
      <c r="I431">
        <f>'PSP Data'!I434</f>
        <v>0</v>
      </c>
      <c r="J431" s="29" t="e">
        <f t="shared" si="30"/>
        <v>#N/A</v>
      </c>
      <c r="K431" s="29" t="e">
        <f>IF(AND((A431&lt;'PSP Data'!$C$11),(A431&lt;&gt;0)),Analysis!C431,#N/A)</f>
        <v>#N/A</v>
      </c>
      <c r="L431" t="e">
        <f>IF(VLOOKUP(B431,Table1[],4)=0,"unknown", VLOOKUP(B431,Table1[],4))</f>
        <v>#N/A</v>
      </c>
      <c r="M431">
        <v>1</v>
      </c>
      <c r="N431" t="e">
        <f t="shared" si="31"/>
        <v>#N/A</v>
      </c>
      <c r="O431" t="str">
        <f t="shared" si="32"/>
        <v/>
      </c>
      <c r="P431" t="str">
        <f t="shared" si="33"/>
        <v/>
      </c>
      <c r="Q431" t="str">
        <f t="shared" si="34"/>
        <v/>
      </c>
      <c r="R431">
        <v>1</v>
      </c>
    </row>
    <row r="432" spans="1:18">
      <c r="A432">
        <f>'PSP Data'!A435</f>
        <v>0</v>
      </c>
      <c r="B432" t="str">
        <f>IF('PSP Data'!B435=0,"",'PSP Data'!B435)</f>
        <v/>
      </c>
      <c r="C432">
        <f>'PSP Data'!C435</f>
        <v>0</v>
      </c>
      <c r="D432">
        <f>'PSP Data'!D435</f>
        <v>0</v>
      </c>
      <c r="E432">
        <f>'PSP Data'!E435</f>
        <v>0</v>
      </c>
      <c r="F432">
        <f>'PSP Data'!F435</f>
        <v>0</v>
      </c>
      <c r="G432">
        <f>'PSP Data'!G435</f>
        <v>0</v>
      </c>
      <c r="H432">
        <f>'PSP Data'!H435</f>
        <v>0</v>
      </c>
      <c r="I432">
        <f>'PSP Data'!I435</f>
        <v>0</v>
      </c>
      <c r="J432" s="29" t="e">
        <f t="shared" si="30"/>
        <v>#N/A</v>
      </c>
      <c r="K432" s="29" t="e">
        <f>IF(AND((A432&lt;'PSP Data'!$C$11),(A432&lt;&gt;0)),Analysis!C432,#N/A)</f>
        <v>#N/A</v>
      </c>
      <c r="L432" t="e">
        <f>IF(VLOOKUP(B432,Table1[],4)=0,"unknown", VLOOKUP(B432,Table1[],4))</f>
        <v>#N/A</v>
      </c>
      <c r="M432">
        <v>1</v>
      </c>
      <c r="N432" t="e">
        <f t="shared" si="31"/>
        <v>#N/A</v>
      </c>
      <c r="O432" t="str">
        <f t="shared" si="32"/>
        <v/>
      </c>
      <c r="P432" t="str">
        <f t="shared" si="33"/>
        <v/>
      </c>
      <c r="Q432" t="str">
        <f t="shared" si="34"/>
        <v/>
      </c>
      <c r="R432">
        <v>1</v>
      </c>
    </row>
    <row r="433" spans="1:18">
      <c r="A433">
        <f>'PSP Data'!A436</f>
        <v>0</v>
      </c>
      <c r="B433" t="str">
        <f>IF('PSP Data'!B436=0,"",'PSP Data'!B436)</f>
        <v/>
      </c>
      <c r="C433">
        <f>'PSP Data'!C436</f>
        <v>0</v>
      </c>
      <c r="D433">
        <f>'PSP Data'!D436</f>
        <v>0</v>
      </c>
      <c r="E433">
        <f>'PSP Data'!E436</f>
        <v>0</v>
      </c>
      <c r="F433">
        <f>'PSP Data'!F436</f>
        <v>0</v>
      </c>
      <c r="G433">
        <f>'PSP Data'!G436</f>
        <v>0</v>
      </c>
      <c r="H433">
        <f>'PSP Data'!H436</f>
        <v>0</v>
      </c>
      <c r="I433">
        <f>'PSP Data'!I436</f>
        <v>0</v>
      </c>
      <c r="J433" s="29" t="e">
        <f t="shared" si="30"/>
        <v>#N/A</v>
      </c>
      <c r="K433" s="29" t="e">
        <f>IF(AND((A433&lt;'PSP Data'!$C$11),(A433&lt;&gt;0)),Analysis!C433,#N/A)</f>
        <v>#N/A</v>
      </c>
      <c r="L433" t="e">
        <f>IF(VLOOKUP(B433,Table1[],4)=0,"unknown", VLOOKUP(B433,Table1[],4))</f>
        <v>#N/A</v>
      </c>
      <c r="M433">
        <v>1</v>
      </c>
      <c r="N433" t="e">
        <f t="shared" si="31"/>
        <v>#N/A</v>
      </c>
      <c r="O433" t="str">
        <f t="shared" si="32"/>
        <v/>
      </c>
      <c r="P433" t="str">
        <f t="shared" si="33"/>
        <v/>
      </c>
      <c r="Q433" t="str">
        <f t="shared" si="34"/>
        <v/>
      </c>
      <c r="R433">
        <v>1</v>
      </c>
    </row>
    <row r="434" spans="1:18">
      <c r="A434">
        <f>'PSP Data'!A437</f>
        <v>0</v>
      </c>
      <c r="B434" t="str">
        <f>IF('PSP Data'!B437=0,"",'PSP Data'!B437)</f>
        <v/>
      </c>
      <c r="C434">
        <f>'PSP Data'!C437</f>
        <v>0</v>
      </c>
      <c r="D434">
        <f>'PSP Data'!D437</f>
        <v>0</v>
      </c>
      <c r="E434">
        <f>'PSP Data'!E437</f>
        <v>0</v>
      </c>
      <c r="F434">
        <f>'PSP Data'!F437</f>
        <v>0</v>
      </c>
      <c r="G434">
        <f>'PSP Data'!G437</f>
        <v>0</v>
      </c>
      <c r="H434">
        <f>'PSP Data'!H437</f>
        <v>0</v>
      </c>
      <c r="I434">
        <f>'PSP Data'!I437</f>
        <v>0</v>
      </c>
      <c r="J434" s="29" t="e">
        <f t="shared" si="30"/>
        <v>#N/A</v>
      </c>
      <c r="K434" s="29" t="e">
        <f>IF(AND((A434&lt;'PSP Data'!$C$11),(A434&lt;&gt;0)),Analysis!C434,#N/A)</f>
        <v>#N/A</v>
      </c>
      <c r="L434" t="e">
        <f>IF(VLOOKUP(B434,Table1[],4)=0,"unknown", VLOOKUP(B434,Table1[],4))</f>
        <v>#N/A</v>
      </c>
      <c r="M434">
        <v>1</v>
      </c>
      <c r="N434" t="e">
        <f t="shared" si="31"/>
        <v>#N/A</v>
      </c>
      <c r="O434" t="str">
        <f t="shared" si="32"/>
        <v/>
      </c>
      <c r="P434" t="str">
        <f t="shared" si="33"/>
        <v/>
      </c>
      <c r="Q434" t="str">
        <f t="shared" si="34"/>
        <v/>
      </c>
      <c r="R434">
        <v>1</v>
      </c>
    </row>
    <row r="435" spans="1:18">
      <c r="A435">
        <f>'PSP Data'!A438</f>
        <v>0</v>
      </c>
      <c r="B435" t="str">
        <f>IF('PSP Data'!B438=0,"",'PSP Data'!B438)</f>
        <v/>
      </c>
      <c r="C435">
        <f>'PSP Data'!C438</f>
        <v>0</v>
      </c>
      <c r="D435">
        <f>'PSP Data'!D438</f>
        <v>0</v>
      </c>
      <c r="E435">
        <f>'PSP Data'!E438</f>
        <v>0</v>
      </c>
      <c r="F435">
        <f>'PSP Data'!F438</f>
        <v>0</v>
      </c>
      <c r="G435">
        <f>'PSP Data'!G438</f>
        <v>0</v>
      </c>
      <c r="H435">
        <f>'PSP Data'!H438</f>
        <v>0</v>
      </c>
      <c r="I435">
        <f>'PSP Data'!I438</f>
        <v>0</v>
      </c>
      <c r="J435" s="29" t="e">
        <f t="shared" si="30"/>
        <v>#N/A</v>
      </c>
      <c r="K435" s="29" t="e">
        <f>IF(AND((A435&lt;'PSP Data'!$C$11),(A435&lt;&gt;0)),Analysis!C435,#N/A)</f>
        <v>#N/A</v>
      </c>
      <c r="L435" t="e">
        <f>IF(VLOOKUP(B435,Table1[],4)=0,"unknown", VLOOKUP(B435,Table1[],4))</f>
        <v>#N/A</v>
      </c>
      <c r="M435">
        <v>1</v>
      </c>
      <c r="N435" t="e">
        <f t="shared" si="31"/>
        <v>#N/A</v>
      </c>
      <c r="O435" t="str">
        <f t="shared" si="32"/>
        <v/>
      </c>
      <c r="P435" t="str">
        <f t="shared" si="33"/>
        <v/>
      </c>
      <c r="Q435" t="str">
        <f t="shared" si="34"/>
        <v/>
      </c>
      <c r="R435">
        <v>1</v>
      </c>
    </row>
    <row r="436" spans="1:18">
      <c r="A436">
        <f>'PSP Data'!A439</f>
        <v>0</v>
      </c>
      <c r="B436" t="str">
        <f>IF('PSP Data'!B439=0,"",'PSP Data'!B439)</f>
        <v/>
      </c>
      <c r="C436">
        <f>'PSP Data'!C439</f>
        <v>0</v>
      </c>
      <c r="D436">
        <f>'PSP Data'!D439</f>
        <v>0</v>
      </c>
      <c r="E436">
        <f>'PSP Data'!E439</f>
        <v>0</v>
      </c>
      <c r="F436">
        <f>'PSP Data'!F439</f>
        <v>0</v>
      </c>
      <c r="G436">
        <f>'PSP Data'!G439</f>
        <v>0</v>
      </c>
      <c r="H436">
        <f>'PSP Data'!H439</f>
        <v>0</v>
      </c>
      <c r="I436">
        <f>'PSP Data'!I439</f>
        <v>0</v>
      </c>
      <c r="J436" s="29" t="e">
        <f t="shared" si="30"/>
        <v>#N/A</v>
      </c>
      <c r="K436" s="29" t="e">
        <f>IF(AND((A436&lt;'PSP Data'!$C$11),(A436&lt;&gt;0)),Analysis!C436,#N/A)</f>
        <v>#N/A</v>
      </c>
      <c r="L436" t="e">
        <f>IF(VLOOKUP(B436,Table1[],4)=0,"unknown", VLOOKUP(B436,Table1[],4))</f>
        <v>#N/A</v>
      </c>
      <c r="M436">
        <v>1</v>
      </c>
      <c r="N436" t="e">
        <f t="shared" si="31"/>
        <v>#N/A</v>
      </c>
      <c r="O436" t="str">
        <f t="shared" si="32"/>
        <v/>
      </c>
      <c r="P436" t="str">
        <f t="shared" si="33"/>
        <v/>
      </c>
      <c r="Q436" t="str">
        <f t="shared" si="34"/>
        <v/>
      </c>
      <c r="R436">
        <v>1</v>
      </c>
    </row>
    <row r="437" spans="1:18">
      <c r="A437">
        <f>'PSP Data'!A440</f>
        <v>0</v>
      </c>
      <c r="B437" t="str">
        <f>IF('PSP Data'!B440=0,"",'PSP Data'!B440)</f>
        <v/>
      </c>
      <c r="C437">
        <f>'PSP Data'!C440</f>
        <v>0</v>
      </c>
      <c r="D437">
        <f>'PSP Data'!D440</f>
        <v>0</v>
      </c>
      <c r="E437">
        <f>'PSP Data'!E440</f>
        <v>0</v>
      </c>
      <c r="F437">
        <f>'PSP Data'!F440</f>
        <v>0</v>
      </c>
      <c r="G437">
        <f>'PSP Data'!G440</f>
        <v>0</v>
      </c>
      <c r="H437">
        <f>'PSP Data'!H440</f>
        <v>0</v>
      </c>
      <c r="I437">
        <f>'PSP Data'!I440</f>
        <v>0</v>
      </c>
      <c r="J437" s="29" t="e">
        <f t="shared" si="30"/>
        <v>#N/A</v>
      </c>
      <c r="K437" s="29" t="e">
        <f>IF(AND((A437&lt;'PSP Data'!$C$11),(A437&lt;&gt;0)),Analysis!C437,#N/A)</f>
        <v>#N/A</v>
      </c>
      <c r="L437" t="e">
        <f>IF(VLOOKUP(B437,Table1[],4)=0,"unknown", VLOOKUP(B437,Table1[],4))</f>
        <v>#N/A</v>
      </c>
      <c r="M437">
        <v>1</v>
      </c>
      <c r="N437" t="e">
        <f t="shared" si="31"/>
        <v>#N/A</v>
      </c>
      <c r="O437" t="str">
        <f t="shared" si="32"/>
        <v/>
      </c>
      <c r="P437" t="str">
        <f t="shared" si="33"/>
        <v/>
      </c>
      <c r="Q437" t="str">
        <f t="shared" si="34"/>
        <v/>
      </c>
      <c r="R437">
        <v>1</v>
      </c>
    </row>
    <row r="438" spans="1:18">
      <c r="A438">
        <f>'PSP Data'!A441</f>
        <v>0</v>
      </c>
      <c r="B438" t="str">
        <f>IF('PSP Data'!B441=0,"",'PSP Data'!B441)</f>
        <v/>
      </c>
      <c r="C438">
        <f>'PSP Data'!C441</f>
        <v>0</v>
      </c>
      <c r="D438">
        <f>'PSP Data'!D441</f>
        <v>0</v>
      </c>
      <c r="E438">
        <f>'PSP Data'!E441</f>
        <v>0</v>
      </c>
      <c r="F438">
        <f>'PSP Data'!F441</f>
        <v>0</v>
      </c>
      <c r="G438">
        <f>'PSP Data'!G441</f>
        <v>0</v>
      </c>
      <c r="H438">
        <f>'PSP Data'!H441</f>
        <v>0</v>
      </c>
      <c r="I438">
        <f>'PSP Data'!I441</f>
        <v>0</v>
      </c>
      <c r="J438" s="29" t="e">
        <f t="shared" si="30"/>
        <v>#N/A</v>
      </c>
      <c r="K438" s="29" t="e">
        <f>IF(AND((A438&lt;'PSP Data'!$C$11),(A438&lt;&gt;0)),Analysis!C438,#N/A)</f>
        <v>#N/A</v>
      </c>
      <c r="L438" t="e">
        <f>IF(VLOOKUP(B438,Table1[],4)=0,"unknown", VLOOKUP(B438,Table1[],4))</f>
        <v>#N/A</v>
      </c>
      <c r="M438">
        <v>1</v>
      </c>
      <c r="N438" t="e">
        <f t="shared" si="31"/>
        <v>#N/A</v>
      </c>
      <c r="O438" t="str">
        <f t="shared" si="32"/>
        <v/>
      </c>
      <c r="P438" t="str">
        <f t="shared" si="33"/>
        <v/>
      </c>
      <c r="Q438" t="str">
        <f t="shared" si="34"/>
        <v/>
      </c>
      <c r="R438">
        <v>1</v>
      </c>
    </row>
    <row r="439" spans="1:18">
      <c r="A439">
        <f>'PSP Data'!A442</f>
        <v>0</v>
      </c>
      <c r="B439" t="str">
        <f>IF('PSP Data'!B442=0,"",'PSP Data'!B442)</f>
        <v/>
      </c>
      <c r="C439">
        <f>'PSP Data'!C442</f>
        <v>0</v>
      </c>
      <c r="D439">
        <f>'PSP Data'!D442</f>
        <v>0</v>
      </c>
      <c r="E439">
        <f>'PSP Data'!E442</f>
        <v>0</v>
      </c>
      <c r="F439">
        <f>'PSP Data'!F442</f>
        <v>0</v>
      </c>
      <c r="G439">
        <f>'PSP Data'!G442</f>
        <v>0</v>
      </c>
      <c r="H439">
        <f>'PSP Data'!H442</f>
        <v>0</v>
      </c>
      <c r="I439">
        <f>'PSP Data'!I442</f>
        <v>0</v>
      </c>
      <c r="J439" s="29" t="e">
        <f t="shared" si="30"/>
        <v>#N/A</v>
      </c>
      <c r="K439" s="29" t="e">
        <f>IF(AND((A439&lt;'PSP Data'!$C$11),(A439&lt;&gt;0)),Analysis!C439,#N/A)</f>
        <v>#N/A</v>
      </c>
      <c r="L439" t="e">
        <f>IF(VLOOKUP(B439,Table1[],4)=0,"unknown", VLOOKUP(B439,Table1[],4))</f>
        <v>#N/A</v>
      </c>
      <c r="M439">
        <v>1</v>
      </c>
      <c r="N439" t="e">
        <f t="shared" si="31"/>
        <v>#N/A</v>
      </c>
      <c r="O439" t="str">
        <f t="shared" si="32"/>
        <v/>
      </c>
      <c r="P439" t="str">
        <f t="shared" si="33"/>
        <v/>
      </c>
      <c r="Q439" t="str">
        <f t="shared" si="34"/>
        <v/>
      </c>
      <c r="R439">
        <v>1</v>
      </c>
    </row>
    <row r="440" spans="1:18">
      <c r="A440">
        <f>'PSP Data'!A443</f>
        <v>0</v>
      </c>
      <c r="B440" t="str">
        <f>IF('PSP Data'!B443=0,"",'PSP Data'!B443)</f>
        <v/>
      </c>
      <c r="C440">
        <f>'PSP Data'!C443</f>
        <v>0</v>
      </c>
      <c r="D440">
        <f>'PSP Data'!D443</f>
        <v>0</v>
      </c>
      <c r="E440">
        <f>'PSP Data'!E443</f>
        <v>0</v>
      </c>
      <c r="F440">
        <f>'PSP Data'!F443</f>
        <v>0</v>
      </c>
      <c r="G440">
        <f>'PSP Data'!G443</f>
        <v>0</v>
      </c>
      <c r="H440">
        <f>'PSP Data'!H443</f>
        <v>0</v>
      </c>
      <c r="I440">
        <f>'PSP Data'!I443</f>
        <v>0</v>
      </c>
      <c r="J440" s="29" t="e">
        <f t="shared" si="30"/>
        <v>#N/A</v>
      </c>
      <c r="K440" s="29" t="e">
        <f>IF(AND((A440&lt;'PSP Data'!$C$11),(A440&lt;&gt;0)),Analysis!C440,#N/A)</f>
        <v>#N/A</v>
      </c>
      <c r="L440" t="e">
        <f>IF(VLOOKUP(B440,Table1[],4)=0,"unknown", VLOOKUP(B440,Table1[],4))</f>
        <v>#N/A</v>
      </c>
      <c r="M440">
        <v>1</v>
      </c>
      <c r="N440" t="e">
        <f t="shared" si="31"/>
        <v>#N/A</v>
      </c>
      <c r="O440" t="str">
        <f t="shared" si="32"/>
        <v/>
      </c>
      <c r="P440" t="str">
        <f t="shared" si="33"/>
        <v/>
      </c>
      <c r="Q440" t="str">
        <f t="shared" si="34"/>
        <v/>
      </c>
      <c r="R440">
        <v>1</v>
      </c>
    </row>
    <row r="441" spans="1:18">
      <c r="A441">
        <f>'PSP Data'!A444</f>
        <v>0</v>
      </c>
      <c r="B441" t="str">
        <f>IF('PSP Data'!B444=0,"",'PSP Data'!B444)</f>
        <v/>
      </c>
      <c r="C441">
        <f>'PSP Data'!C444</f>
        <v>0</v>
      </c>
      <c r="D441">
        <f>'PSP Data'!D444</f>
        <v>0</v>
      </c>
      <c r="E441">
        <f>'PSP Data'!E444</f>
        <v>0</v>
      </c>
      <c r="F441">
        <f>'PSP Data'!F444</f>
        <v>0</v>
      </c>
      <c r="G441">
        <f>'PSP Data'!G444</f>
        <v>0</v>
      </c>
      <c r="H441">
        <f>'PSP Data'!H444</f>
        <v>0</v>
      </c>
      <c r="I441">
        <f>'PSP Data'!I444</f>
        <v>0</v>
      </c>
      <c r="J441" s="29" t="e">
        <f t="shared" si="30"/>
        <v>#N/A</v>
      </c>
      <c r="K441" s="29" t="e">
        <f>IF(AND((A441&lt;'PSP Data'!$C$11),(A441&lt;&gt;0)),Analysis!C441,#N/A)</f>
        <v>#N/A</v>
      </c>
      <c r="L441" t="e">
        <f>IF(VLOOKUP(B441,Table1[],4)=0,"unknown", VLOOKUP(B441,Table1[],4))</f>
        <v>#N/A</v>
      </c>
      <c r="M441">
        <v>1</v>
      </c>
      <c r="N441" t="e">
        <f t="shared" si="31"/>
        <v>#N/A</v>
      </c>
      <c r="O441" t="str">
        <f t="shared" si="32"/>
        <v/>
      </c>
      <c r="P441" t="str">
        <f t="shared" si="33"/>
        <v/>
      </c>
      <c r="Q441" t="str">
        <f t="shared" si="34"/>
        <v/>
      </c>
      <c r="R441">
        <v>1</v>
      </c>
    </row>
    <row r="442" spans="1:18">
      <c r="A442">
        <f>'PSP Data'!A445</f>
        <v>0</v>
      </c>
      <c r="B442" t="str">
        <f>IF('PSP Data'!B445=0,"",'PSP Data'!B445)</f>
        <v/>
      </c>
      <c r="C442">
        <f>'PSP Data'!C445</f>
        <v>0</v>
      </c>
      <c r="D442">
        <f>'PSP Data'!D445</f>
        <v>0</v>
      </c>
      <c r="E442">
        <f>'PSP Data'!E445</f>
        <v>0</v>
      </c>
      <c r="F442">
        <f>'PSP Data'!F445</f>
        <v>0</v>
      </c>
      <c r="G442">
        <f>'PSP Data'!G445</f>
        <v>0</v>
      </c>
      <c r="H442">
        <f>'PSP Data'!H445</f>
        <v>0</v>
      </c>
      <c r="I442">
        <f>'PSP Data'!I445</f>
        <v>0</v>
      </c>
      <c r="J442" s="29" t="e">
        <f t="shared" si="30"/>
        <v>#N/A</v>
      </c>
      <c r="K442" s="29" t="e">
        <f>IF(AND((A442&lt;'PSP Data'!$C$11),(A442&lt;&gt;0)),Analysis!C442,#N/A)</f>
        <v>#N/A</v>
      </c>
      <c r="L442" t="e">
        <f>IF(VLOOKUP(B442,Table1[],4)=0,"unknown", VLOOKUP(B442,Table1[],4))</f>
        <v>#N/A</v>
      </c>
      <c r="M442">
        <v>1</v>
      </c>
      <c r="N442" t="e">
        <f t="shared" si="31"/>
        <v>#N/A</v>
      </c>
      <c r="O442" t="str">
        <f t="shared" si="32"/>
        <v/>
      </c>
      <c r="P442" t="str">
        <f t="shared" si="33"/>
        <v/>
      </c>
      <c r="Q442" t="str">
        <f t="shared" si="34"/>
        <v/>
      </c>
      <c r="R442">
        <v>1</v>
      </c>
    </row>
    <row r="443" spans="1:18">
      <c r="A443">
        <f>'PSP Data'!A446</f>
        <v>0</v>
      </c>
      <c r="B443" t="str">
        <f>IF('PSP Data'!B446=0,"",'PSP Data'!B446)</f>
        <v/>
      </c>
      <c r="C443">
        <f>'PSP Data'!C446</f>
        <v>0</v>
      </c>
      <c r="D443">
        <f>'PSP Data'!D446</f>
        <v>0</v>
      </c>
      <c r="E443">
        <f>'PSP Data'!E446</f>
        <v>0</v>
      </c>
      <c r="F443">
        <f>'PSP Data'!F446</f>
        <v>0</v>
      </c>
      <c r="G443">
        <f>'PSP Data'!G446</f>
        <v>0</v>
      </c>
      <c r="H443">
        <f>'PSP Data'!H446</f>
        <v>0</v>
      </c>
      <c r="I443">
        <f>'PSP Data'!I446</f>
        <v>0</v>
      </c>
      <c r="J443" s="29" t="e">
        <f t="shared" si="30"/>
        <v>#N/A</v>
      </c>
      <c r="K443" s="29" t="e">
        <f>IF(AND((A443&lt;'PSP Data'!$C$11),(A443&lt;&gt;0)),Analysis!C443,#N/A)</f>
        <v>#N/A</v>
      </c>
      <c r="L443" t="e">
        <f>IF(VLOOKUP(B443,Table1[],4)=0,"unknown", VLOOKUP(B443,Table1[],4))</f>
        <v>#N/A</v>
      </c>
      <c r="M443">
        <v>1</v>
      </c>
      <c r="N443" t="e">
        <f t="shared" si="31"/>
        <v>#N/A</v>
      </c>
      <c r="O443" t="str">
        <f t="shared" si="32"/>
        <v/>
      </c>
      <c r="P443" t="str">
        <f t="shared" si="33"/>
        <v/>
      </c>
      <c r="Q443" t="str">
        <f t="shared" si="34"/>
        <v/>
      </c>
      <c r="R443">
        <v>1</v>
      </c>
    </row>
    <row r="444" spans="1:18">
      <c r="A444">
        <f>'PSP Data'!A447</f>
        <v>0</v>
      </c>
      <c r="B444" t="str">
        <f>IF('PSP Data'!B447=0,"",'PSP Data'!B447)</f>
        <v/>
      </c>
      <c r="C444">
        <f>'PSP Data'!C447</f>
        <v>0</v>
      </c>
      <c r="D444">
        <f>'PSP Data'!D447</f>
        <v>0</v>
      </c>
      <c r="E444">
        <f>'PSP Data'!E447</f>
        <v>0</v>
      </c>
      <c r="F444">
        <f>'PSP Data'!F447</f>
        <v>0</v>
      </c>
      <c r="G444">
        <f>'PSP Data'!G447</f>
        <v>0</v>
      </c>
      <c r="H444">
        <f>'PSP Data'!H447</f>
        <v>0</v>
      </c>
      <c r="I444">
        <f>'PSP Data'!I447</f>
        <v>0</v>
      </c>
      <c r="J444" s="29" t="e">
        <f t="shared" si="30"/>
        <v>#N/A</v>
      </c>
      <c r="K444" s="29" t="e">
        <f>IF(AND((A444&lt;'PSP Data'!$C$11),(A444&lt;&gt;0)),Analysis!C444,#N/A)</f>
        <v>#N/A</v>
      </c>
      <c r="L444" t="e">
        <f>IF(VLOOKUP(B444,Table1[],4)=0,"unknown", VLOOKUP(B444,Table1[],4))</f>
        <v>#N/A</v>
      </c>
      <c r="M444">
        <v>1</v>
      </c>
      <c r="N444" t="e">
        <f t="shared" si="31"/>
        <v>#N/A</v>
      </c>
      <c r="O444" t="str">
        <f t="shared" si="32"/>
        <v/>
      </c>
      <c r="P444" t="str">
        <f t="shared" si="33"/>
        <v/>
      </c>
      <c r="Q444" t="str">
        <f t="shared" si="34"/>
        <v/>
      </c>
      <c r="R444">
        <v>1</v>
      </c>
    </row>
    <row r="445" spans="1:18">
      <c r="A445">
        <f>'PSP Data'!A448</f>
        <v>0</v>
      </c>
      <c r="B445" t="str">
        <f>IF('PSP Data'!B448=0,"",'PSP Data'!B448)</f>
        <v/>
      </c>
      <c r="C445">
        <f>'PSP Data'!C448</f>
        <v>0</v>
      </c>
      <c r="D445">
        <f>'PSP Data'!D448</f>
        <v>0</v>
      </c>
      <c r="E445">
        <f>'PSP Data'!E448</f>
        <v>0</v>
      </c>
      <c r="F445">
        <f>'PSP Data'!F448</f>
        <v>0</v>
      </c>
      <c r="G445">
        <f>'PSP Data'!G448</f>
        <v>0</v>
      </c>
      <c r="H445">
        <f>'PSP Data'!H448</f>
        <v>0</v>
      </c>
      <c r="I445">
        <f>'PSP Data'!I448</f>
        <v>0</v>
      </c>
      <c r="J445" s="29" t="e">
        <f t="shared" si="30"/>
        <v>#N/A</v>
      </c>
      <c r="K445" s="29" t="e">
        <f>IF(AND((A445&lt;'PSP Data'!$C$11),(A445&lt;&gt;0)),Analysis!C445,#N/A)</f>
        <v>#N/A</v>
      </c>
      <c r="L445" t="e">
        <f>IF(VLOOKUP(B445,Table1[],4)=0,"unknown", VLOOKUP(B445,Table1[],4))</f>
        <v>#N/A</v>
      </c>
      <c r="M445">
        <v>1</v>
      </c>
      <c r="N445" t="e">
        <f t="shared" si="31"/>
        <v>#N/A</v>
      </c>
      <c r="O445" t="str">
        <f t="shared" si="32"/>
        <v/>
      </c>
      <c r="P445" t="str">
        <f t="shared" si="33"/>
        <v/>
      </c>
      <c r="Q445" t="str">
        <f t="shared" si="34"/>
        <v/>
      </c>
      <c r="R445">
        <v>1</v>
      </c>
    </row>
    <row r="446" spans="1:18">
      <c r="A446">
        <f>'PSP Data'!A449</f>
        <v>0</v>
      </c>
      <c r="B446" t="str">
        <f>IF('PSP Data'!B449=0,"",'PSP Data'!B449)</f>
        <v/>
      </c>
      <c r="C446">
        <f>'PSP Data'!C449</f>
        <v>0</v>
      </c>
      <c r="D446">
        <f>'PSP Data'!D449</f>
        <v>0</v>
      </c>
      <c r="E446">
        <f>'PSP Data'!E449</f>
        <v>0</v>
      </c>
      <c r="F446">
        <f>'PSP Data'!F449</f>
        <v>0</v>
      </c>
      <c r="G446">
        <f>'PSP Data'!G449</f>
        <v>0</v>
      </c>
      <c r="H446">
        <f>'PSP Data'!H449</f>
        <v>0</v>
      </c>
      <c r="I446">
        <f>'PSP Data'!I449</f>
        <v>0</v>
      </c>
      <c r="J446" s="29" t="e">
        <f t="shared" si="30"/>
        <v>#N/A</v>
      </c>
      <c r="K446" s="29" t="e">
        <f>IF(AND((A446&lt;'PSP Data'!$C$11),(A446&lt;&gt;0)),Analysis!C446,#N/A)</f>
        <v>#N/A</v>
      </c>
      <c r="L446" t="e">
        <f>IF(VLOOKUP(B446,Table1[],4)=0,"unknown", VLOOKUP(B446,Table1[],4))</f>
        <v>#N/A</v>
      </c>
      <c r="M446">
        <v>1</v>
      </c>
      <c r="N446" t="e">
        <f t="shared" si="31"/>
        <v>#N/A</v>
      </c>
      <c r="O446" t="str">
        <f t="shared" si="32"/>
        <v/>
      </c>
      <c r="P446" t="str">
        <f t="shared" si="33"/>
        <v/>
      </c>
      <c r="Q446" t="str">
        <f t="shared" si="34"/>
        <v/>
      </c>
      <c r="R446">
        <v>1</v>
      </c>
    </row>
    <row r="447" spans="1:18">
      <c r="A447">
        <f>'PSP Data'!A450</f>
        <v>0</v>
      </c>
      <c r="B447" t="str">
        <f>IF('PSP Data'!B450=0,"",'PSP Data'!B450)</f>
        <v/>
      </c>
      <c r="C447">
        <f>'PSP Data'!C450</f>
        <v>0</v>
      </c>
      <c r="D447">
        <f>'PSP Data'!D450</f>
        <v>0</v>
      </c>
      <c r="E447">
        <f>'PSP Data'!E450</f>
        <v>0</v>
      </c>
      <c r="F447">
        <f>'PSP Data'!F450</f>
        <v>0</v>
      </c>
      <c r="G447">
        <f>'PSP Data'!G450</f>
        <v>0</v>
      </c>
      <c r="H447">
        <f>'PSP Data'!H450</f>
        <v>0</v>
      </c>
      <c r="I447">
        <f>'PSP Data'!I450</f>
        <v>0</v>
      </c>
      <c r="J447" s="29" t="e">
        <f t="shared" si="30"/>
        <v>#N/A</v>
      </c>
      <c r="K447" s="29" t="e">
        <f>IF(AND((A447&lt;'PSP Data'!$C$11),(A447&lt;&gt;0)),Analysis!C447,#N/A)</f>
        <v>#N/A</v>
      </c>
      <c r="L447" t="e">
        <f>IF(VLOOKUP(B447,Table1[],4)=0,"unknown", VLOOKUP(B447,Table1[],4))</f>
        <v>#N/A</v>
      </c>
      <c r="M447">
        <v>1</v>
      </c>
      <c r="N447" t="e">
        <f t="shared" si="31"/>
        <v>#N/A</v>
      </c>
      <c r="O447" t="str">
        <f t="shared" si="32"/>
        <v/>
      </c>
      <c r="P447" t="str">
        <f t="shared" si="33"/>
        <v/>
      </c>
      <c r="Q447" t="str">
        <f t="shared" si="34"/>
        <v/>
      </c>
      <c r="R447">
        <v>1</v>
      </c>
    </row>
    <row r="448" spans="1:18">
      <c r="A448">
        <f>'PSP Data'!A451</f>
        <v>0</v>
      </c>
      <c r="B448" t="str">
        <f>IF('PSP Data'!B451=0,"",'PSP Data'!B451)</f>
        <v/>
      </c>
      <c r="C448">
        <f>'PSP Data'!C451</f>
        <v>0</v>
      </c>
      <c r="D448">
        <f>'PSP Data'!D451</f>
        <v>0</v>
      </c>
      <c r="E448">
        <f>'PSP Data'!E451</f>
        <v>0</v>
      </c>
      <c r="F448">
        <f>'PSP Data'!F451</f>
        <v>0</v>
      </c>
      <c r="G448">
        <f>'PSP Data'!G451</f>
        <v>0</v>
      </c>
      <c r="H448">
        <f>'PSP Data'!H451</f>
        <v>0</v>
      </c>
      <c r="I448">
        <f>'PSP Data'!I451</f>
        <v>0</v>
      </c>
      <c r="J448" s="29" t="e">
        <f t="shared" si="30"/>
        <v>#N/A</v>
      </c>
      <c r="K448" s="29" t="e">
        <f>IF(AND((A448&lt;'PSP Data'!$C$11),(A448&lt;&gt;0)),Analysis!C448,#N/A)</f>
        <v>#N/A</v>
      </c>
      <c r="L448" t="e">
        <f>IF(VLOOKUP(B448,Table1[],4)=0,"unknown", VLOOKUP(B448,Table1[],4))</f>
        <v>#N/A</v>
      </c>
      <c r="M448">
        <v>1</v>
      </c>
      <c r="N448" t="e">
        <f t="shared" si="31"/>
        <v>#N/A</v>
      </c>
      <c r="O448" t="str">
        <f t="shared" si="32"/>
        <v/>
      </c>
      <c r="P448" t="str">
        <f t="shared" si="33"/>
        <v/>
      </c>
      <c r="Q448" t="str">
        <f t="shared" si="34"/>
        <v/>
      </c>
      <c r="R448">
        <v>1</v>
      </c>
    </row>
    <row r="449" spans="1:18">
      <c r="A449">
        <f>'PSP Data'!A452</f>
        <v>0</v>
      </c>
      <c r="B449" t="str">
        <f>IF('PSP Data'!B452=0,"",'PSP Data'!B452)</f>
        <v/>
      </c>
      <c r="C449">
        <f>'PSP Data'!C452</f>
        <v>0</v>
      </c>
      <c r="D449">
        <f>'PSP Data'!D452</f>
        <v>0</v>
      </c>
      <c r="E449">
        <f>'PSP Data'!E452</f>
        <v>0</v>
      </c>
      <c r="F449">
        <f>'PSP Data'!F452</f>
        <v>0</v>
      </c>
      <c r="G449">
        <f>'PSP Data'!G452</f>
        <v>0</v>
      </c>
      <c r="H449">
        <f>'PSP Data'!H452</f>
        <v>0</v>
      </c>
      <c r="I449">
        <f>'PSP Data'!I452</f>
        <v>0</v>
      </c>
      <c r="J449" s="29" t="e">
        <f t="shared" si="30"/>
        <v>#N/A</v>
      </c>
      <c r="K449" s="29" t="e">
        <f>IF(AND((A449&lt;'PSP Data'!$C$11),(A449&lt;&gt;0)),Analysis!C449,#N/A)</f>
        <v>#N/A</v>
      </c>
      <c r="L449" t="e">
        <f>IF(VLOOKUP(B449,Table1[],4)=0,"unknown", VLOOKUP(B449,Table1[],4))</f>
        <v>#N/A</v>
      </c>
      <c r="M449">
        <v>1</v>
      </c>
      <c r="N449" t="e">
        <f t="shared" si="31"/>
        <v>#N/A</v>
      </c>
      <c r="O449" t="str">
        <f t="shared" si="32"/>
        <v/>
      </c>
      <c r="P449" t="str">
        <f t="shared" si="33"/>
        <v/>
      </c>
      <c r="Q449" t="str">
        <f t="shared" si="34"/>
        <v/>
      </c>
      <c r="R449">
        <v>1</v>
      </c>
    </row>
    <row r="450" spans="1:18">
      <c r="A450">
        <f>'PSP Data'!A453</f>
        <v>0</v>
      </c>
      <c r="B450" t="str">
        <f>IF('PSP Data'!B453=0,"",'PSP Data'!B453)</f>
        <v/>
      </c>
      <c r="C450">
        <f>'PSP Data'!C453</f>
        <v>0</v>
      </c>
      <c r="D450">
        <f>'PSP Data'!D453</f>
        <v>0</v>
      </c>
      <c r="E450">
        <f>'PSP Data'!E453</f>
        <v>0</v>
      </c>
      <c r="F450">
        <f>'PSP Data'!F453</f>
        <v>0</v>
      </c>
      <c r="G450">
        <f>'PSP Data'!G453</f>
        <v>0</v>
      </c>
      <c r="H450">
        <f>'PSP Data'!H453</f>
        <v>0</v>
      </c>
      <c r="I450">
        <f>'PSP Data'!I453</f>
        <v>0</v>
      </c>
      <c r="J450" s="29" t="e">
        <f t="shared" si="30"/>
        <v>#N/A</v>
      </c>
      <c r="K450" s="29" t="e">
        <f>IF(AND((A450&lt;'PSP Data'!$C$11),(A450&lt;&gt;0)),Analysis!C450,#N/A)</f>
        <v>#N/A</v>
      </c>
      <c r="L450" t="e">
        <f>IF(VLOOKUP(B450,Table1[],4)=0,"unknown", VLOOKUP(B450,Table1[],4))</f>
        <v>#N/A</v>
      </c>
      <c r="M450">
        <v>1</v>
      </c>
      <c r="N450" t="e">
        <f t="shared" si="31"/>
        <v>#N/A</v>
      </c>
      <c r="O450" t="str">
        <f t="shared" si="32"/>
        <v/>
      </c>
      <c r="P450" t="str">
        <f t="shared" si="33"/>
        <v/>
      </c>
      <c r="Q450" t="str">
        <f t="shared" si="34"/>
        <v/>
      </c>
      <c r="R450">
        <v>1</v>
      </c>
    </row>
    <row r="451" spans="1:18">
      <c r="A451">
        <f>'PSP Data'!A454</f>
        <v>0</v>
      </c>
      <c r="B451" t="str">
        <f>IF('PSP Data'!B454=0,"",'PSP Data'!B454)</f>
        <v/>
      </c>
      <c r="C451">
        <f>'PSP Data'!C454</f>
        <v>0</v>
      </c>
      <c r="D451">
        <f>'PSP Data'!D454</f>
        <v>0</v>
      </c>
      <c r="E451">
        <f>'PSP Data'!E454</f>
        <v>0</v>
      </c>
      <c r="F451">
        <f>'PSP Data'!F454</f>
        <v>0</v>
      </c>
      <c r="G451">
        <f>'PSP Data'!G454</f>
        <v>0</v>
      </c>
      <c r="H451">
        <f>'PSP Data'!H454</f>
        <v>0</v>
      </c>
      <c r="I451">
        <f>'PSP Data'!I454</f>
        <v>0</v>
      </c>
      <c r="J451" s="29" t="e">
        <f t="shared" si="30"/>
        <v>#N/A</v>
      </c>
      <c r="K451" s="29" t="e">
        <f>IF(AND((A451&lt;'PSP Data'!$C$11),(A451&lt;&gt;0)),Analysis!C451,#N/A)</f>
        <v>#N/A</v>
      </c>
      <c r="L451" t="e">
        <f>IF(VLOOKUP(B451,Table1[],4)=0,"unknown", VLOOKUP(B451,Table1[],4))</f>
        <v>#N/A</v>
      </c>
      <c r="M451">
        <v>1</v>
      </c>
      <c r="N451" t="e">
        <f t="shared" si="31"/>
        <v>#N/A</v>
      </c>
      <c r="O451" t="str">
        <f t="shared" si="32"/>
        <v/>
      </c>
      <c r="P451" t="str">
        <f t="shared" si="33"/>
        <v/>
      </c>
      <c r="Q451" t="str">
        <f t="shared" si="34"/>
        <v/>
      </c>
      <c r="R451">
        <v>1</v>
      </c>
    </row>
    <row r="452" spans="1:18">
      <c r="A452">
        <f>'PSP Data'!A455</f>
        <v>0</v>
      </c>
      <c r="B452" t="str">
        <f>IF('PSP Data'!B455=0,"",'PSP Data'!B455)</f>
        <v/>
      </c>
      <c r="C452">
        <f>'PSP Data'!C455</f>
        <v>0</v>
      </c>
      <c r="D452">
        <f>'PSP Data'!D455</f>
        <v>0</v>
      </c>
      <c r="E452">
        <f>'PSP Data'!E455</f>
        <v>0</v>
      </c>
      <c r="F452">
        <f>'PSP Data'!F455</f>
        <v>0</v>
      </c>
      <c r="G452">
        <f>'PSP Data'!G455</f>
        <v>0</v>
      </c>
      <c r="H452">
        <f>'PSP Data'!H455</f>
        <v>0</v>
      </c>
      <c r="I452">
        <f>'PSP Data'!I455</f>
        <v>0</v>
      </c>
      <c r="J452" s="29" t="e">
        <f t="shared" si="30"/>
        <v>#N/A</v>
      </c>
      <c r="K452" s="29" t="e">
        <f>IF(AND((A452&lt;'PSP Data'!$C$11),(A452&lt;&gt;0)),Analysis!C452,#N/A)</f>
        <v>#N/A</v>
      </c>
      <c r="L452" t="e">
        <f>IF(VLOOKUP(B452,Table1[],4)=0,"unknown", VLOOKUP(B452,Table1[],4))</f>
        <v>#N/A</v>
      </c>
      <c r="M452">
        <v>1</v>
      </c>
      <c r="N452" t="e">
        <f t="shared" si="31"/>
        <v>#N/A</v>
      </c>
      <c r="O452" t="str">
        <f t="shared" si="32"/>
        <v/>
      </c>
      <c r="P452" t="str">
        <f t="shared" si="33"/>
        <v/>
      </c>
      <c r="Q452" t="str">
        <f t="shared" si="34"/>
        <v/>
      </c>
      <c r="R452">
        <v>1</v>
      </c>
    </row>
    <row r="453" spans="1:18">
      <c r="A453">
        <f>'PSP Data'!A456</f>
        <v>0</v>
      </c>
      <c r="B453" t="str">
        <f>IF('PSP Data'!B456=0,"",'PSP Data'!B456)</f>
        <v/>
      </c>
      <c r="C453">
        <f>'PSP Data'!C456</f>
        <v>0</v>
      </c>
      <c r="D453">
        <f>'PSP Data'!D456</f>
        <v>0</v>
      </c>
      <c r="E453">
        <f>'PSP Data'!E456</f>
        <v>0</v>
      </c>
      <c r="F453">
        <f>'PSP Data'!F456</f>
        <v>0</v>
      </c>
      <c r="G453">
        <f>'PSP Data'!G456</f>
        <v>0</v>
      </c>
      <c r="H453">
        <f>'PSP Data'!H456</f>
        <v>0</v>
      </c>
      <c r="I453">
        <f>'PSP Data'!I456</f>
        <v>0</v>
      </c>
      <c r="J453" s="29" t="e">
        <f t="shared" si="30"/>
        <v>#N/A</v>
      </c>
      <c r="K453" s="29" t="e">
        <f>IF(AND((A453&lt;'PSP Data'!$C$11),(A453&lt;&gt;0)),Analysis!C453,#N/A)</f>
        <v>#N/A</v>
      </c>
      <c r="L453" t="e">
        <f>IF(VLOOKUP(B453,Table1[],4)=0,"unknown", VLOOKUP(B453,Table1[],4))</f>
        <v>#N/A</v>
      </c>
      <c r="M453">
        <v>1</v>
      </c>
      <c r="N453" t="e">
        <f t="shared" si="31"/>
        <v>#N/A</v>
      </c>
      <c r="O453" t="str">
        <f t="shared" si="32"/>
        <v/>
      </c>
      <c r="P453" t="str">
        <f t="shared" si="33"/>
        <v/>
      </c>
      <c r="Q453" t="str">
        <f t="shared" si="34"/>
        <v/>
      </c>
      <c r="R453">
        <v>1</v>
      </c>
    </row>
    <row r="454" spans="1:18">
      <c r="A454">
        <f>'PSP Data'!A457</f>
        <v>0</v>
      </c>
      <c r="B454" t="str">
        <f>IF('PSP Data'!B457=0,"",'PSP Data'!B457)</f>
        <v/>
      </c>
      <c r="C454">
        <f>'PSP Data'!C457</f>
        <v>0</v>
      </c>
      <c r="D454">
        <f>'PSP Data'!D457</f>
        <v>0</v>
      </c>
      <c r="E454">
        <f>'PSP Data'!E457</f>
        <v>0</v>
      </c>
      <c r="F454">
        <f>'PSP Data'!F457</f>
        <v>0</v>
      </c>
      <c r="G454">
        <f>'PSP Data'!G457</f>
        <v>0</v>
      </c>
      <c r="H454">
        <f>'PSP Data'!H457</f>
        <v>0</v>
      </c>
      <c r="I454">
        <f>'PSP Data'!I457</f>
        <v>0</v>
      </c>
      <c r="J454" s="29" t="e">
        <f t="shared" si="30"/>
        <v>#N/A</v>
      </c>
      <c r="K454" s="29" t="e">
        <f>IF(AND((A454&lt;'PSP Data'!$C$11),(A454&lt;&gt;0)),Analysis!C454,#N/A)</f>
        <v>#N/A</v>
      </c>
      <c r="L454" t="e">
        <f>IF(VLOOKUP(B454,Table1[],4)=0,"unknown", VLOOKUP(B454,Table1[],4))</f>
        <v>#N/A</v>
      </c>
      <c r="M454">
        <v>1</v>
      </c>
      <c r="N454" t="e">
        <f t="shared" si="31"/>
        <v>#N/A</v>
      </c>
      <c r="O454" t="str">
        <f t="shared" si="32"/>
        <v/>
      </c>
      <c r="P454" t="str">
        <f t="shared" si="33"/>
        <v/>
      </c>
      <c r="Q454" t="str">
        <f t="shared" si="34"/>
        <v/>
      </c>
      <c r="R454">
        <v>1</v>
      </c>
    </row>
    <row r="455" spans="1:18">
      <c r="A455">
        <f>'PSP Data'!A458</f>
        <v>0</v>
      </c>
      <c r="B455" t="str">
        <f>IF('PSP Data'!B458=0,"",'PSP Data'!B458)</f>
        <v/>
      </c>
      <c r="C455">
        <f>'PSP Data'!C458</f>
        <v>0</v>
      </c>
      <c r="D455">
        <f>'PSP Data'!D458</f>
        <v>0</v>
      </c>
      <c r="E455">
        <f>'PSP Data'!E458</f>
        <v>0</v>
      </c>
      <c r="F455">
        <f>'PSP Data'!F458</f>
        <v>0</v>
      </c>
      <c r="G455">
        <f>'PSP Data'!G458</f>
        <v>0</v>
      </c>
      <c r="H455">
        <f>'PSP Data'!H458</f>
        <v>0</v>
      </c>
      <c r="I455">
        <f>'PSP Data'!I458</f>
        <v>0</v>
      </c>
      <c r="J455" s="29" t="e">
        <f t="shared" si="30"/>
        <v>#N/A</v>
      </c>
      <c r="K455" s="29" t="e">
        <f>IF(AND((A455&lt;'PSP Data'!$C$11),(A455&lt;&gt;0)),Analysis!C455,#N/A)</f>
        <v>#N/A</v>
      </c>
      <c r="L455" t="e">
        <f>IF(VLOOKUP(B455,Table1[],4)=0,"unknown", VLOOKUP(B455,Table1[],4))</f>
        <v>#N/A</v>
      </c>
      <c r="M455">
        <v>1</v>
      </c>
      <c r="N455" t="e">
        <f t="shared" si="31"/>
        <v>#N/A</v>
      </c>
      <c r="O455" t="str">
        <f t="shared" si="32"/>
        <v/>
      </c>
      <c r="P455" t="str">
        <f t="shared" si="33"/>
        <v/>
      </c>
      <c r="Q455" t="str">
        <f t="shared" si="34"/>
        <v/>
      </c>
      <c r="R455">
        <v>1</v>
      </c>
    </row>
    <row r="456" spans="1:18">
      <c r="A456">
        <f>'PSP Data'!A459</f>
        <v>0</v>
      </c>
      <c r="B456" t="str">
        <f>IF('PSP Data'!B459=0,"",'PSP Data'!B459)</f>
        <v/>
      </c>
      <c r="C456">
        <f>'PSP Data'!C459</f>
        <v>0</v>
      </c>
      <c r="D456">
        <f>'PSP Data'!D459</f>
        <v>0</v>
      </c>
      <c r="E456">
        <f>'PSP Data'!E459</f>
        <v>0</v>
      </c>
      <c r="F456">
        <f>'PSP Data'!F459</f>
        <v>0</v>
      </c>
      <c r="G456">
        <f>'PSP Data'!G459</f>
        <v>0</v>
      </c>
      <c r="H456">
        <f>'PSP Data'!H459</f>
        <v>0</v>
      </c>
      <c r="I456">
        <f>'PSP Data'!I459</f>
        <v>0</v>
      </c>
      <c r="J456" s="29" t="e">
        <f t="shared" si="30"/>
        <v>#N/A</v>
      </c>
      <c r="K456" s="29" t="e">
        <f>IF(AND((A456&lt;'PSP Data'!$C$11),(A456&lt;&gt;0)),Analysis!C456,#N/A)</f>
        <v>#N/A</v>
      </c>
      <c r="L456" t="e">
        <f>IF(VLOOKUP(B456,Table1[],4)=0,"unknown", VLOOKUP(B456,Table1[],4))</f>
        <v>#N/A</v>
      </c>
      <c r="M456">
        <v>1</v>
      </c>
      <c r="N456" t="e">
        <f t="shared" si="31"/>
        <v>#N/A</v>
      </c>
      <c r="O456" t="str">
        <f t="shared" si="32"/>
        <v/>
      </c>
      <c r="P456" t="str">
        <f t="shared" si="33"/>
        <v/>
      </c>
      <c r="Q456" t="str">
        <f t="shared" si="34"/>
        <v/>
      </c>
      <c r="R456">
        <v>1</v>
      </c>
    </row>
    <row r="457" spans="1:18">
      <c r="A457">
        <f>'PSP Data'!A460</f>
        <v>0</v>
      </c>
      <c r="B457" t="str">
        <f>IF('PSP Data'!B460=0,"",'PSP Data'!B460)</f>
        <v/>
      </c>
      <c r="C457">
        <f>'PSP Data'!C460</f>
        <v>0</v>
      </c>
      <c r="D457">
        <f>'PSP Data'!D460</f>
        <v>0</v>
      </c>
      <c r="E457">
        <f>'PSP Data'!E460</f>
        <v>0</v>
      </c>
      <c r="F457">
        <f>'PSP Data'!F460</f>
        <v>0</v>
      </c>
      <c r="G457">
        <f>'PSP Data'!G460</f>
        <v>0</v>
      </c>
      <c r="H457">
        <f>'PSP Data'!H460</f>
        <v>0</v>
      </c>
      <c r="I457">
        <f>'PSP Data'!I460</f>
        <v>0</v>
      </c>
      <c r="J457" s="29" t="e">
        <f t="shared" si="30"/>
        <v>#N/A</v>
      </c>
      <c r="K457" s="29" t="e">
        <f>IF(AND((A457&lt;'PSP Data'!$C$11),(A457&lt;&gt;0)),Analysis!C457,#N/A)</f>
        <v>#N/A</v>
      </c>
      <c r="L457" t="e">
        <f>IF(VLOOKUP(B457,Table1[],4)=0,"unknown", VLOOKUP(B457,Table1[],4))</f>
        <v>#N/A</v>
      </c>
      <c r="M457">
        <v>1</v>
      </c>
      <c r="N457" t="e">
        <f t="shared" si="31"/>
        <v>#N/A</v>
      </c>
      <c r="O457" t="str">
        <f t="shared" si="32"/>
        <v/>
      </c>
      <c r="P457" t="str">
        <f t="shared" si="33"/>
        <v/>
      </c>
      <c r="Q457" t="str">
        <f t="shared" si="34"/>
        <v/>
      </c>
      <c r="R457">
        <v>1</v>
      </c>
    </row>
    <row r="458" spans="1:18">
      <c r="A458">
        <f>'PSP Data'!A461</f>
        <v>0</v>
      </c>
      <c r="B458" t="str">
        <f>IF('PSP Data'!B461=0,"",'PSP Data'!B461)</f>
        <v/>
      </c>
      <c r="C458">
        <f>'PSP Data'!C461</f>
        <v>0</v>
      </c>
      <c r="D458">
        <f>'PSP Data'!D461</f>
        <v>0</v>
      </c>
      <c r="E458">
        <f>'PSP Data'!E461</f>
        <v>0</v>
      </c>
      <c r="F458">
        <f>'PSP Data'!F461</f>
        <v>0</v>
      </c>
      <c r="G458">
        <f>'PSP Data'!G461</f>
        <v>0</v>
      </c>
      <c r="H458">
        <f>'PSP Data'!H461</f>
        <v>0</v>
      </c>
      <c r="I458">
        <f>'PSP Data'!I461</f>
        <v>0</v>
      </c>
      <c r="J458" s="29" t="e">
        <f t="shared" si="30"/>
        <v>#N/A</v>
      </c>
      <c r="K458" s="29" t="e">
        <f>IF(AND((A458&lt;'PSP Data'!$C$11),(A458&lt;&gt;0)),Analysis!C458,#N/A)</f>
        <v>#N/A</v>
      </c>
      <c r="L458" t="e">
        <f>IF(VLOOKUP(B458,Table1[],4)=0,"unknown", VLOOKUP(B458,Table1[],4))</f>
        <v>#N/A</v>
      </c>
      <c r="M458">
        <v>1</v>
      </c>
      <c r="N458" t="e">
        <f t="shared" si="31"/>
        <v>#N/A</v>
      </c>
      <c r="O458" t="str">
        <f t="shared" si="32"/>
        <v/>
      </c>
      <c r="P458" t="str">
        <f t="shared" si="33"/>
        <v/>
      </c>
      <c r="Q458" t="str">
        <f t="shared" si="34"/>
        <v/>
      </c>
      <c r="R458">
        <v>1</v>
      </c>
    </row>
    <row r="459" spans="1:18">
      <c r="A459">
        <f>'PSP Data'!A462</f>
        <v>0</v>
      </c>
      <c r="B459" t="str">
        <f>IF('PSP Data'!B462=0,"",'PSP Data'!B462)</f>
        <v/>
      </c>
      <c r="C459">
        <f>'PSP Data'!C462</f>
        <v>0</v>
      </c>
      <c r="D459">
        <f>'PSP Data'!D462</f>
        <v>0</v>
      </c>
      <c r="E459">
        <f>'PSP Data'!E462</f>
        <v>0</v>
      </c>
      <c r="F459">
        <f>'PSP Data'!F462</f>
        <v>0</v>
      </c>
      <c r="G459">
        <f>'PSP Data'!G462</f>
        <v>0</v>
      </c>
      <c r="H459">
        <f>'PSP Data'!H462</f>
        <v>0</v>
      </c>
      <c r="I459">
        <f>'PSP Data'!I462</f>
        <v>0</v>
      </c>
      <c r="J459" s="29" t="e">
        <f t="shared" si="30"/>
        <v>#N/A</v>
      </c>
      <c r="K459" s="29" t="e">
        <f>IF(AND((A459&lt;'PSP Data'!$C$11),(A459&lt;&gt;0)),Analysis!C459,#N/A)</f>
        <v>#N/A</v>
      </c>
      <c r="L459" t="e">
        <f>IF(VLOOKUP(B459,Table1[],4)=0,"unknown", VLOOKUP(B459,Table1[],4))</f>
        <v>#N/A</v>
      </c>
      <c r="M459">
        <v>1</v>
      </c>
      <c r="N459" t="e">
        <f t="shared" si="31"/>
        <v>#N/A</v>
      </c>
      <c r="O459" t="str">
        <f t="shared" si="32"/>
        <v/>
      </c>
      <c r="P459" t="str">
        <f t="shared" si="33"/>
        <v/>
      </c>
      <c r="Q459" t="str">
        <f t="shared" si="34"/>
        <v/>
      </c>
      <c r="R459">
        <v>1</v>
      </c>
    </row>
    <row r="460" spans="1:18">
      <c r="A460">
        <f>'PSP Data'!A463</f>
        <v>0</v>
      </c>
      <c r="B460" t="str">
        <f>IF('PSP Data'!B463=0,"",'PSP Data'!B463)</f>
        <v/>
      </c>
      <c r="C460">
        <f>'PSP Data'!C463</f>
        <v>0</v>
      </c>
      <c r="D460">
        <f>'PSP Data'!D463</f>
        <v>0</v>
      </c>
      <c r="E460">
        <f>'PSP Data'!E463</f>
        <v>0</v>
      </c>
      <c r="F460">
        <f>'PSP Data'!F463</f>
        <v>0</v>
      </c>
      <c r="G460">
        <f>'PSP Data'!G463</f>
        <v>0</v>
      </c>
      <c r="H460">
        <f>'PSP Data'!H463</f>
        <v>0</v>
      </c>
      <c r="I460">
        <f>'PSP Data'!I463</f>
        <v>0</v>
      </c>
      <c r="J460" s="29" t="e">
        <f t="shared" si="30"/>
        <v>#N/A</v>
      </c>
      <c r="K460" s="29" t="e">
        <f>IF(AND((A460&lt;'PSP Data'!$C$11),(A460&lt;&gt;0)),Analysis!C460,#N/A)</f>
        <v>#N/A</v>
      </c>
      <c r="L460" t="e">
        <f>IF(VLOOKUP(B460,Table1[],4)=0,"unknown", VLOOKUP(B460,Table1[],4))</f>
        <v>#N/A</v>
      </c>
      <c r="M460">
        <v>1</v>
      </c>
      <c r="N460" t="e">
        <f t="shared" si="31"/>
        <v>#N/A</v>
      </c>
      <c r="O460" t="str">
        <f t="shared" si="32"/>
        <v/>
      </c>
      <c r="P460" t="str">
        <f t="shared" si="33"/>
        <v/>
      </c>
      <c r="Q460" t="str">
        <f t="shared" si="34"/>
        <v/>
      </c>
      <c r="R460">
        <v>1</v>
      </c>
    </row>
    <row r="461" spans="1:18">
      <c r="A461">
        <f>'PSP Data'!A464</f>
        <v>0</v>
      </c>
      <c r="B461" t="str">
        <f>IF('PSP Data'!B464=0,"",'PSP Data'!B464)</f>
        <v/>
      </c>
      <c r="C461">
        <f>'PSP Data'!C464</f>
        <v>0</v>
      </c>
      <c r="D461">
        <f>'PSP Data'!D464</f>
        <v>0</v>
      </c>
      <c r="E461">
        <f>'PSP Data'!E464</f>
        <v>0</v>
      </c>
      <c r="F461">
        <f>'PSP Data'!F464</f>
        <v>0</v>
      </c>
      <c r="G461">
        <f>'PSP Data'!G464</f>
        <v>0</v>
      </c>
      <c r="H461">
        <f>'PSP Data'!H464</f>
        <v>0</v>
      </c>
      <c r="I461">
        <f>'PSP Data'!I464</f>
        <v>0</v>
      </c>
      <c r="J461" s="29" t="e">
        <f t="shared" si="30"/>
        <v>#N/A</v>
      </c>
      <c r="K461" s="29" t="e">
        <f>IF(AND((A461&lt;'PSP Data'!$C$11),(A461&lt;&gt;0)),Analysis!C461,#N/A)</f>
        <v>#N/A</v>
      </c>
      <c r="L461" t="e">
        <f>IF(VLOOKUP(B461,Table1[],4)=0,"unknown", VLOOKUP(B461,Table1[],4))</f>
        <v>#N/A</v>
      </c>
      <c r="M461">
        <v>1</v>
      </c>
      <c r="N461" t="e">
        <f t="shared" si="31"/>
        <v>#N/A</v>
      </c>
      <c r="O461" t="str">
        <f t="shared" si="32"/>
        <v/>
      </c>
      <c r="P461" t="str">
        <f t="shared" si="33"/>
        <v/>
      </c>
      <c r="Q461" t="str">
        <f t="shared" si="34"/>
        <v/>
      </c>
      <c r="R461">
        <v>1</v>
      </c>
    </row>
    <row r="462" spans="1:18">
      <c r="A462">
        <f>'PSP Data'!A465</f>
        <v>0</v>
      </c>
      <c r="B462" t="str">
        <f>IF('PSP Data'!B465=0,"",'PSP Data'!B465)</f>
        <v/>
      </c>
      <c r="C462">
        <f>'PSP Data'!C465</f>
        <v>0</v>
      </c>
      <c r="D462">
        <f>'PSP Data'!D465</f>
        <v>0</v>
      </c>
      <c r="E462">
        <f>'PSP Data'!E465</f>
        <v>0</v>
      </c>
      <c r="F462">
        <f>'PSP Data'!F465</f>
        <v>0</v>
      </c>
      <c r="G462">
        <f>'PSP Data'!G465</f>
        <v>0</v>
      </c>
      <c r="H462">
        <f>'PSP Data'!H465</f>
        <v>0</v>
      </c>
      <c r="I462">
        <f>'PSP Data'!I465</f>
        <v>0</v>
      </c>
      <c r="J462" s="29" t="e">
        <f t="shared" si="30"/>
        <v>#N/A</v>
      </c>
      <c r="K462" s="29" t="e">
        <f>IF(AND((A462&lt;'PSP Data'!$C$11),(A462&lt;&gt;0)),Analysis!C462,#N/A)</f>
        <v>#N/A</v>
      </c>
      <c r="L462" t="e">
        <f>IF(VLOOKUP(B462,Table1[],4)=0,"unknown", VLOOKUP(B462,Table1[],4))</f>
        <v>#N/A</v>
      </c>
      <c r="M462">
        <v>1</v>
      </c>
      <c r="N462" t="e">
        <f t="shared" si="31"/>
        <v>#N/A</v>
      </c>
      <c r="O462" t="str">
        <f t="shared" si="32"/>
        <v/>
      </c>
      <c r="P462" t="str">
        <f t="shared" si="33"/>
        <v/>
      </c>
      <c r="Q462" t="str">
        <f t="shared" si="34"/>
        <v/>
      </c>
      <c r="R462">
        <v>1</v>
      </c>
    </row>
    <row r="463" spans="1:18">
      <c r="A463">
        <f>'PSP Data'!A466</f>
        <v>0</v>
      </c>
      <c r="B463" t="str">
        <f>IF('PSP Data'!B466=0,"",'PSP Data'!B466)</f>
        <v/>
      </c>
      <c r="C463">
        <f>'PSP Data'!C466</f>
        <v>0</v>
      </c>
      <c r="D463">
        <f>'PSP Data'!D466</f>
        <v>0</v>
      </c>
      <c r="E463">
        <f>'PSP Data'!E466</f>
        <v>0</v>
      </c>
      <c r="F463">
        <f>'PSP Data'!F466</f>
        <v>0</v>
      </c>
      <c r="G463">
        <f>'PSP Data'!G466</f>
        <v>0</v>
      </c>
      <c r="H463">
        <f>'PSP Data'!H466</f>
        <v>0</v>
      </c>
      <c r="I463">
        <f>'PSP Data'!I466</f>
        <v>0</v>
      </c>
      <c r="J463" s="29" t="e">
        <f t="shared" si="30"/>
        <v>#N/A</v>
      </c>
      <c r="K463" s="29" t="e">
        <f>IF(AND((A463&lt;'PSP Data'!$C$11),(A463&lt;&gt;0)),Analysis!C463,#N/A)</f>
        <v>#N/A</v>
      </c>
      <c r="L463" t="e">
        <f>IF(VLOOKUP(B463,Table1[],4)=0,"unknown", VLOOKUP(B463,Table1[],4))</f>
        <v>#N/A</v>
      </c>
      <c r="M463">
        <v>1</v>
      </c>
      <c r="N463" t="e">
        <f t="shared" si="31"/>
        <v>#N/A</v>
      </c>
      <c r="O463" t="str">
        <f t="shared" si="32"/>
        <v/>
      </c>
      <c r="P463" t="str">
        <f t="shared" si="33"/>
        <v/>
      </c>
      <c r="Q463" t="str">
        <f t="shared" si="34"/>
        <v/>
      </c>
      <c r="R463">
        <v>1</v>
      </c>
    </row>
    <row r="464" spans="1:18">
      <c r="A464">
        <f>'PSP Data'!A467</f>
        <v>0</v>
      </c>
      <c r="B464" t="str">
        <f>IF('PSP Data'!B467=0,"",'PSP Data'!B467)</f>
        <v/>
      </c>
      <c r="C464">
        <f>'PSP Data'!C467</f>
        <v>0</v>
      </c>
      <c r="D464">
        <f>'PSP Data'!D467</f>
        <v>0</v>
      </c>
      <c r="E464">
        <f>'PSP Data'!E467</f>
        <v>0</v>
      </c>
      <c r="F464">
        <f>'PSP Data'!F467</f>
        <v>0</v>
      </c>
      <c r="G464">
        <f>'PSP Data'!G467</f>
        <v>0</v>
      </c>
      <c r="H464">
        <f>'PSP Data'!H467</f>
        <v>0</v>
      </c>
      <c r="I464">
        <f>'PSP Data'!I467</f>
        <v>0</v>
      </c>
      <c r="J464" s="29" t="e">
        <f t="shared" si="30"/>
        <v>#N/A</v>
      </c>
      <c r="K464" s="29" t="e">
        <f>IF(AND((A464&lt;'PSP Data'!$C$11),(A464&lt;&gt;0)),Analysis!C464,#N/A)</f>
        <v>#N/A</v>
      </c>
      <c r="L464" t="e">
        <f>IF(VLOOKUP(B464,Table1[],4)=0,"unknown", VLOOKUP(B464,Table1[],4))</f>
        <v>#N/A</v>
      </c>
      <c r="M464">
        <v>1</v>
      </c>
      <c r="N464" t="e">
        <f t="shared" si="31"/>
        <v>#N/A</v>
      </c>
      <c r="O464" t="str">
        <f t="shared" si="32"/>
        <v/>
      </c>
      <c r="P464" t="str">
        <f t="shared" si="33"/>
        <v/>
      </c>
      <c r="Q464" t="str">
        <f t="shared" si="34"/>
        <v/>
      </c>
      <c r="R464">
        <v>1</v>
      </c>
    </row>
    <row r="465" spans="1:18">
      <c r="A465">
        <f>'PSP Data'!A468</f>
        <v>0</v>
      </c>
      <c r="B465" t="str">
        <f>IF('PSP Data'!B468=0,"",'PSP Data'!B468)</f>
        <v/>
      </c>
      <c r="C465">
        <f>'PSP Data'!C468</f>
        <v>0</v>
      </c>
      <c r="D465">
        <f>'PSP Data'!D468</f>
        <v>0</v>
      </c>
      <c r="E465">
        <f>'PSP Data'!E468</f>
        <v>0</v>
      </c>
      <c r="F465">
        <f>'PSP Data'!F468</f>
        <v>0</v>
      </c>
      <c r="G465">
        <f>'PSP Data'!G468</f>
        <v>0</v>
      </c>
      <c r="H465">
        <f>'PSP Data'!H468</f>
        <v>0</v>
      </c>
      <c r="I465">
        <f>'PSP Data'!I468</f>
        <v>0</v>
      </c>
      <c r="J465" s="29" t="e">
        <f t="shared" si="30"/>
        <v>#N/A</v>
      </c>
      <c r="K465" s="29" t="e">
        <f>IF(AND((A465&lt;'PSP Data'!$C$11),(A465&lt;&gt;0)),Analysis!C465,#N/A)</f>
        <v>#N/A</v>
      </c>
      <c r="L465" t="e">
        <f>IF(VLOOKUP(B465,Table1[],4)=0,"unknown", VLOOKUP(B465,Table1[],4))</f>
        <v>#N/A</v>
      </c>
      <c r="M465">
        <v>1</v>
      </c>
      <c r="N465" t="e">
        <f t="shared" si="31"/>
        <v>#N/A</v>
      </c>
      <c r="O465" t="str">
        <f t="shared" si="32"/>
        <v/>
      </c>
      <c r="P465" t="str">
        <f t="shared" si="33"/>
        <v/>
      </c>
      <c r="Q465" t="str">
        <f t="shared" si="34"/>
        <v/>
      </c>
      <c r="R465">
        <v>1</v>
      </c>
    </row>
    <row r="466" spans="1:18">
      <c r="A466">
        <f>'PSP Data'!A469</f>
        <v>0</v>
      </c>
      <c r="B466" t="str">
        <f>IF('PSP Data'!B469=0,"",'PSP Data'!B469)</f>
        <v/>
      </c>
      <c r="C466">
        <f>'PSP Data'!C469</f>
        <v>0</v>
      </c>
      <c r="D466">
        <f>'PSP Data'!D469</f>
        <v>0</v>
      </c>
      <c r="E466">
        <f>'PSP Data'!E469</f>
        <v>0</v>
      </c>
      <c r="F466">
        <f>'PSP Data'!F469</f>
        <v>0</v>
      </c>
      <c r="G466">
        <f>'PSP Data'!G469</f>
        <v>0</v>
      </c>
      <c r="H466">
        <f>'PSP Data'!H469</f>
        <v>0</v>
      </c>
      <c r="I466">
        <f>'PSP Data'!I469</f>
        <v>0</v>
      </c>
      <c r="J466" s="29" t="e">
        <f t="shared" si="30"/>
        <v>#N/A</v>
      </c>
      <c r="K466" s="29" t="e">
        <f>IF(AND((A466&lt;'PSP Data'!$C$11),(A466&lt;&gt;0)),Analysis!C466,#N/A)</f>
        <v>#N/A</v>
      </c>
      <c r="L466" t="e">
        <f>IF(VLOOKUP(B466,Table1[],4)=0,"unknown", VLOOKUP(B466,Table1[],4))</f>
        <v>#N/A</v>
      </c>
      <c r="M466">
        <v>1</v>
      </c>
      <c r="N466" t="e">
        <f t="shared" si="31"/>
        <v>#N/A</v>
      </c>
      <c r="O466" t="str">
        <f t="shared" si="32"/>
        <v/>
      </c>
      <c r="P466" t="str">
        <f t="shared" si="33"/>
        <v/>
      </c>
      <c r="Q466" t="str">
        <f t="shared" si="34"/>
        <v/>
      </c>
      <c r="R466">
        <v>1</v>
      </c>
    </row>
    <row r="467" spans="1:18">
      <c r="A467">
        <f>'PSP Data'!A470</f>
        <v>0</v>
      </c>
      <c r="B467" t="str">
        <f>IF('PSP Data'!B470=0,"",'PSP Data'!B470)</f>
        <v/>
      </c>
      <c r="C467">
        <f>'PSP Data'!C470</f>
        <v>0</v>
      </c>
      <c r="D467">
        <f>'PSP Data'!D470</f>
        <v>0</v>
      </c>
      <c r="E467">
        <f>'PSP Data'!E470</f>
        <v>0</v>
      </c>
      <c r="F467">
        <f>'PSP Data'!F470</f>
        <v>0</v>
      </c>
      <c r="G467">
        <f>'PSP Data'!G470</f>
        <v>0</v>
      </c>
      <c r="H467">
        <f>'PSP Data'!H470</f>
        <v>0</v>
      </c>
      <c r="I467">
        <f>'PSP Data'!I470</f>
        <v>0</v>
      </c>
      <c r="J467" s="29" t="e">
        <f t="shared" si="30"/>
        <v>#N/A</v>
      </c>
      <c r="K467" s="29" t="e">
        <f>IF(AND((A467&lt;'PSP Data'!$C$11),(A467&lt;&gt;0)),Analysis!C467,#N/A)</f>
        <v>#N/A</v>
      </c>
      <c r="L467" t="e">
        <f>IF(VLOOKUP(B467,Table1[],4)=0,"unknown", VLOOKUP(B467,Table1[],4))</f>
        <v>#N/A</v>
      </c>
      <c r="M467">
        <v>1</v>
      </c>
      <c r="N467" t="e">
        <f t="shared" si="31"/>
        <v>#N/A</v>
      </c>
      <c r="O467" t="str">
        <f t="shared" si="32"/>
        <v/>
      </c>
      <c r="P467" t="str">
        <f t="shared" si="33"/>
        <v/>
      </c>
      <c r="Q467" t="str">
        <f t="shared" si="34"/>
        <v/>
      </c>
      <c r="R467">
        <v>1</v>
      </c>
    </row>
    <row r="468" spans="1:18">
      <c r="A468">
        <f>'PSP Data'!A471</f>
        <v>0</v>
      </c>
      <c r="B468" t="str">
        <f>IF('PSP Data'!B471=0,"",'PSP Data'!B471)</f>
        <v/>
      </c>
      <c r="C468">
        <f>'PSP Data'!C471</f>
        <v>0</v>
      </c>
      <c r="D468">
        <f>'PSP Data'!D471</f>
        <v>0</v>
      </c>
      <c r="E468">
        <f>'PSP Data'!E471</f>
        <v>0</v>
      </c>
      <c r="F468">
        <f>'PSP Data'!F471</f>
        <v>0</v>
      </c>
      <c r="G468">
        <f>'PSP Data'!G471</f>
        <v>0</v>
      </c>
      <c r="H468">
        <f>'PSP Data'!H471</f>
        <v>0</v>
      </c>
      <c r="I468">
        <f>'PSP Data'!I471</f>
        <v>0</v>
      </c>
      <c r="J468" s="29" t="e">
        <f t="shared" si="30"/>
        <v>#N/A</v>
      </c>
      <c r="K468" s="29" t="e">
        <f>IF(AND((A468&lt;'PSP Data'!$C$11),(A468&lt;&gt;0)),Analysis!C468,#N/A)</f>
        <v>#N/A</v>
      </c>
      <c r="L468" t="e">
        <f>IF(VLOOKUP(B468,Table1[],4)=0,"unknown", VLOOKUP(B468,Table1[],4))</f>
        <v>#N/A</v>
      </c>
      <c r="M468">
        <v>1</v>
      </c>
      <c r="N468" t="e">
        <f t="shared" si="31"/>
        <v>#N/A</v>
      </c>
      <c r="O468" t="str">
        <f t="shared" si="32"/>
        <v/>
      </c>
      <c r="P468" t="str">
        <f t="shared" si="33"/>
        <v/>
      </c>
      <c r="Q468" t="str">
        <f t="shared" si="34"/>
        <v/>
      </c>
      <c r="R468">
        <v>1</v>
      </c>
    </row>
    <row r="469" spans="1:18">
      <c r="A469">
        <f>'PSP Data'!A472</f>
        <v>0</v>
      </c>
      <c r="B469" t="str">
        <f>IF('PSP Data'!B472=0,"",'PSP Data'!B472)</f>
        <v/>
      </c>
      <c r="C469">
        <f>'PSP Data'!C472</f>
        <v>0</v>
      </c>
      <c r="D469">
        <f>'PSP Data'!D472</f>
        <v>0</v>
      </c>
      <c r="E469">
        <f>'PSP Data'!E472</f>
        <v>0</v>
      </c>
      <c r="F469">
        <f>'PSP Data'!F472</f>
        <v>0</v>
      </c>
      <c r="G469">
        <f>'PSP Data'!G472</f>
        <v>0</v>
      </c>
      <c r="H469">
        <f>'PSP Data'!H472</f>
        <v>0</v>
      </c>
      <c r="I469">
        <f>'PSP Data'!I472</f>
        <v>0</v>
      </c>
      <c r="J469" s="29" t="e">
        <f t="shared" si="30"/>
        <v>#N/A</v>
      </c>
      <c r="K469" s="29" t="e">
        <f>IF(AND((A469&lt;'PSP Data'!$C$11),(A469&lt;&gt;0)),Analysis!C469,#N/A)</f>
        <v>#N/A</v>
      </c>
      <c r="L469" t="e">
        <f>IF(VLOOKUP(B469,Table1[],4)=0,"unknown", VLOOKUP(B469,Table1[],4))</f>
        <v>#N/A</v>
      </c>
      <c r="M469">
        <v>1</v>
      </c>
      <c r="N469" t="e">
        <f t="shared" si="31"/>
        <v>#N/A</v>
      </c>
      <c r="O469" t="str">
        <f t="shared" si="32"/>
        <v/>
      </c>
      <c r="P469" t="str">
        <f t="shared" si="33"/>
        <v/>
      </c>
      <c r="Q469" t="str">
        <f t="shared" si="34"/>
        <v/>
      </c>
      <c r="R469">
        <v>1</v>
      </c>
    </row>
    <row r="470" spans="1:18">
      <c r="A470">
        <f>'PSP Data'!A473</f>
        <v>0</v>
      </c>
      <c r="B470" t="str">
        <f>IF('PSP Data'!B473=0,"",'PSP Data'!B473)</f>
        <v/>
      </c>
      <c r="C470">
        <f>'PSP Data'!C473</f>
        <v>0</v>
      </c>
      <c r="D470">
        <f>'PSP Data'!D473</f>
        <v>0</v>
      </c>
      <c r="E470">
        <f>'PSP Data'!E473</f>
        <v>0</v>
      </c>
      <c r="F470">
        <f>'PSP Data'!F473</f>
        <v>0</v>
      </c>
      <c r="G470">
        <f>'PSP Data'!G473</f>
        <v>0</v>
      </c>
      <c r="H470">
        <f>'PSP Data'!H473</f>
        <v>0</v>
      </c>
      <c r="I470">
        <f>'PSP Data'!I473</f>
        <v>0</v>
      </c>
      <c r="J470" s="29" t="e">
        <f t="shared" ref="J470:J533" si="35">IF(C470&gt;=25,C470,#N/A)</f>
        <v>#N/A</v>
      </c>
      <c r="K470" s="29" t="e">
        <f>IF(AND((A470&lt;'PSP Data'!$C$11),(A470&lt;&gt;0)),Analysis!C470,#N/A)</f>
        <v>#N/A</v>
      </c>
      <c r="L470" t="e">
        <f>IF(VLOOKUP(B470,Table1[],4)=0,"unknown", VLOOKUP(B470,Table1[],4))</f>
        <v>#N/A</v>
      </c>
      <c r="M470">
        <v>1</v>
      </c>
      <c r="N470" t="e">
        <f t="shared" ref="N470:N533" si="36">IF(L470="timber",B470,"")</f>
        <v>#N/A</v>
      </c>
      <c r="O470" t="str">
        <f t="shared" ref="O470:O533" si="37">IF(D470="y",B470,"")</f>
        <v/>
      </c>
      <c r="P470" t="str">
        <f t="shared" ref="P470:P533" si="38">IF(F470="y",B470,"")</f>
        <v/>
      </c>
      <c r="Q470" t="str">
        <f t="shared" ref="Q470:Q533" si="39">IF(B470="","",ISNUMBER(FIND("Dead wood",B470:B1349)))</f>
        <v/>
      </c>
      <c r="R470">
        <v>1</v>
      </c>
    </row>
    <row r="471" spans="1:18">
      <c r="A471">
        <f>'PSP Data'!A474</f>
        <v>0</v>
      </c>
      <c r="B471" t="str">
        <f>IF('PSP Data'!B474=0,"",'PSP Data'!B474)</f>
        <v/>
      </c>
      <c r="C471">
        <f>'PSP Data'!C474</f>
        <v>0</v>
      </c>
      <c r="D471">
        <f>'PSP Data'!D474</f>
        <v>0</v>
      </c>
      <c r="E471">
        <f>'PSP Data'!E474</f>
        <v>0</v>
      </c>
      <c r="F471">
        <f>'PSP Data'!F474</f>
        <v>0</v>
      </c>
      <c r="G471">
        <f>'PSP Data'!G474</f>
        <v>0</v>
      </c>
      <c r="H471">
        <f>'PSP Data'!H474</f>
        <v>0</v>
      </c>
      <c r="I471">
        <f>'PSP Data'!I474</f>
        <v>0</v>
      </c>
      <c r="J471" s="29" t="e">
        <f t="shared" si="35"/>
        <v>#N/A</v>
      </c>
      <c r="K471" s="29" t="e">
        <f>IF(AND((A471&lt;'PSP Data'!$C$11),(A471&lt;&gt;0)),Analysis!C471,#N/A)</f>
        <v>#N/A</v>
      </c>
      <c r="L471" t="e">
        <f>IF(VLOOKUP(B471,Table1[],4)=0,"unknown", VLOOKUP(B471,Table1[],4))</f>
        <v>#N/A</v>
      </c>
      <c r="M471">
        <v>1</v>
      </c>
      <c r="N471" t="e">
        <f t="shared" si="36"/>
        <v>#N/A</v>
      </c>
      <c r="O471" t="str">
        <f t="shared" si="37"/>
        <v/>
      </c>
      <c r="P471" t="str">
        <f t="shared" si="38"/>
        <v/>
      </c>
      <c r="Q471" t="str">
        <f t="shared" si="39"/>
        <v/>
      </c>
      <c r="R471">
        <v>1</v>
      </c>
    </row>
    <row r="472" spans="1:18">
      <c r="A472">
        <f>'PSP Data'!A475</f>
        <v>0</v>
      </c>
      <c r="B472" t="str">
        <f>IF('PSP Data'!B475=0,"",'PSP Data'!B475)</f>
        <v/>
      </c>
      <c r="C472">
        <f>'PSP Data'!C475</f>
        <v>0</v>
      </c>
      <c r="D472">
        <f>'PSP Data'!D475</f>
        <v>0</v>
      </c>
      <c r="E472">
        <f>'PSP Data'!E475</f>
        <v>0</v>
      </c>
      <c r="F472">
        <f>'PSP Data'!F475</f>
        <v>0</v>
      </c>
      <c r="G472">
        <f>'PSP Data'!G475</f>
        <v>0</v>
      </c>
      <c r="H472">
        <f>'PSP Data'!H475</f>
        <v>0</v>
      </c>
      <c r="I472">
        <f>'PSP Data'!I475</f>
        <v>0</v>
      </c>
      <c r="J472" s="29" t="e">
        <f t="shared" si="35"/>
        <v>#N/A</v>
      </c>
      <c r="K472" s="29" t="e">
        <f>IF(AND((A472&lt;'PSP Data'!$C$11),(A472&lt;&gt;0)),Analysis!C472,#N/A)</f>
        <v>#N/A</v>
      </c>
      <c r="L472" t="e">
        <f>IF(VLOOKUP(B472,Table1[],4)=0,"unknown", VLOOKUP(B472,Table1[],4))</f>
        <v>#N/A</v>
      </c>
      <c r="M472">
        <v>1</v>
      </c>
      <c r="N472" t="e">
        <f t="shared" si="36"/>
        <v>#N/A</v>
      </c>
      <c r="O472" t="str">
        <f t="shared" si="37"/>
        <v/>
      </c>
      <c r="P472" t="str">
        <f t="shared" si="38"/>
        <v/>
      </c>
      <c r="Q472" t="str">
        <f t="shared" si="39"/>
        <v/>
      </c>
      <c r="R472">
        <v>1</v>
      </c>
    </row>
    <row r="473" spans="1:18">
      <c r="A473">
        <f>'PSP Data'!A476</f>
        <v>0</v>
      </c>
      <c r="B473" t="str">
        <f>IF('PSP Data'!B476=0,"",'PSP Data'!B476)</f>
        <v/>
      </c>
      <c r="C473">
        <f>'PSP Data'!C476</f>
        <v>0</v>
      </c>
      <c r="D473">
        <f>'PSP Data'!D476</f>
        <v>0</v>
      </c>
      <c r="E473">
        <f>'PSP Data'!E476</f>
        <v>0</v>
      </c>
      <c r="F473">
        <f>'PSP Data'!F476</f>
        <v>0</v>
      </c>
      <c r="G473">
        <f>'PSP Data'!G476</f>
        <v>0</v>
      </c>
      <c r="H473">
        <f>'PSP Data'!H476</f>
        <v>0</v>
      </c>
      <c r="I473">
        <f>'PSP Data'!I476</f>
        <v>0</v>
      </c>
      <c r="J473" s="29" t="e">
        <f t="shared" si="35"/>
        <v>#N/A</v>
      </c>
      <c r="K473" s="29" t="e">
        <f>IF(AND((A473&lt;'PSP Data'!$C$11),(A473&lt;&gt;0)),Analysis!C473,#N/A)</f>
        <v>#N/A</v>
      </c>
      <c r="L473" t="e">
        <f>IF(VLOOKUP(B473,Table1[],4)=0,"unknown", VLOOKUP(B473,Table1[],4))</f>
        <v>#N/A</v>
      </c>
      <c r="M473">
        <v>1</v>
      </c>
      <c r="N473" t="e">
        <f t="shared" si="36"/>
        <v>#N/A</v>
      </c>
      <c r="O473" t="str">
        <f t="shared" si="37"/>
        <v/>
      </c>
      <c r="P473" t="str">
        <f t="shared" si="38"/>
        <v/>
      </c>
      <c r="Q473" t="str">
        <f t="shared" si="39"/>
        <v/>
      </c>
      <c r="R473">
        <v>1</v>
      </c>
    </row>
    <row r="474" spans="1:18">
      <c r="A474">
        <f>'PSP Data'!A477</f>
        <v>0</v>
      </c>
      <c r="B474" t="str">
        <f>IF('PSP Data'!B477=0,"",'PSP Data'!B477)</f>
        <v/>
      </c>
      <c r="C474">
        <f>'PSP Data'!C477</f>
        <v>0</v>
      </c>
      <c r="D474">
        <f>'PSP Data'!D477</f>
        <v>0</v>
      </c>
      <c r="E474">
        <f>'PSP Data'!E477</f>
        <v>0</v>
      </c>
      <c r="F474">
        <f>'PSP Data'!F477</f>
        <v>0</v>
      </c>
      <c r="G474">
        <f>'PSP Data'!G477</f>
        <v>0</v>
      </c>
      <c r="H474">
        <f>'PSP Data'!H477</f>
        <v>0</v>
      </c>
      <c r="I474">
        <f>'PSP Data'!I477</f>
        <v>0</v>
      </c>
      <c r="J474" s="29" t="e">
        <f t="shared" si="35"/>
        <v>#N/A</v>
      </c>
      <c r="K474" s="29" t="e">
        <f>IF(AND((A474&lt;'PSP Data'!$C$11),(A474&lt;&gt;0)),Analysis!C474,#N/A)</f>
        <v>#N/A</v>
      </c>
      <c r="L474" t="e">
        <f>IF(VLOOKUP(B474,Table1[],4)=0,"unknown", VLOOKUP(B474,Table1[],4))</f>
        <v>#N/A</v>
      </c>
      <c r="M474">
        <v>1</v>
      </c>
      <c r="N474" t="e">
        <f t="shared" si="36"/>
        <v>#N/A</v>
      </c>
      <c r="O474" t="str">
        <f t="shared" si="37"/>
        <v/>
      </c>
      <c r="P474" t="str">
        <f t="shared" si="38"/>
        <v/>
      </c>
      <c r="Q474" t="str">
        <f t="shared" si="39"/>
        <v/>
      </c>
      <c r="R474">
        <v>1</v>
      </c>
    </row>
    <row r="475" spans="1:18">
      <c r="A475">
        <f>'PSP Data'!A478</f>
        <v>0</v>
      </c>
      <c r="B475" t="str">
        <f>IF('PSP Data'!B478=0,"",'PSP Data'!B478)</f>
        <v/>
      </c>
      <c r="C475">
        <f>'PSP Data'!C478</f>
        <v>0</v>
      </c>
      <c r="D475">
        <f>'PSP Data'!D478</f>
        <v>0</v>
      </c>
      <c r="E475">
        <f>'PSP Data'!E478</f>
        <v>0</v>
      </c>
      <c r="F475">
        <f>'PSP Data'!F478</f>
        <v>0</v>
      </c>
      <c r="G475">
        <f>'PSP Data'!G478</f>
        <v>0</v>
      </c>
      <c r="H475">
        <f>'PSP Data'!H478</f>
        <v>0</v>
      </c>
      <c r="I475">
        <f>'PSP Data'!I478</f>
        <v>0</v>
      </c>
      <c r="J475" s="29" t="e">
        <f t="shared" si="35"/>
        <v>#N/A</v>
      </c>
      <c r="K475" s="29" t="e">
        <f>IF(AND((A475&lt;'PSP Data'!$C$11),(A475&lt;&gt;0)),Analysis!C475,#N/A)</f>
        <v>#N/A</v>
      </c>
      <c r="L475" t="e">
        <f>IF(VLOOKUP(B475,Table1[],4)=0,"unknown", VLOOKUP(B475,Table1[],4))</f>
        <v>#N/A</v>
      </c>
      <c r="M475">
        <v>1</v>
      </c>
      <c r="N475" t="e">
        <f t="shared" si="36"/>
        <v>#N/A</v>
      </c>
      <c r="O475" t="str">
        <f t="shared" si="37"/>
        <v/>
      </c>
      <c r="P475" t="str">
        <f t="shared" si="38"/>
        <v/>
      </c>
      <c r="Q475" t="str">
        <f t="shared" si="39"/>
        <v/>
      </c>
      <c r="R475">
        <v>1</v>
      </c>
    </row>
    <row r="476" spans="1:18">
      <c r="A476">
        <f>'PSP Data'!A479</f>
        <v>0</v>
      </c>
      <c r="B476" t="str">
        <f>IF('PSP Data'!B479=0,"",'PSP Data'!B479)</f>
        <v/>
      </c>
      <c r="C476">
        <f>'PSP Data'!C479</f>
        <v>0</v>
      </c>
      <c r="D476">
        <f>'PSP Data'!D479</f>
        <v>0</v>
      </c>
      <c r="E476">
        <f>'PSP Data'!E479</f>
        <v>0</v>
      </c>
      <c r="F476">
        <f>'PSP Data'!F479</f>
        <v>0</v>
      </c>
      <c r="G476">
        <f>'PSP Data'!G479</f>
        <v>0</v>
      </c>
      <c r="H476">
        <f>'PSP Data'!H479</f>
        <v>0</v>
      </c>
      <c r="I476">
        <f>'PSP Data'!I479</f>
        <v>0</v>
      </c>
      <c r="J476" s="29" t="e">
        <f t="shared" si="35"/>
        <v>#N/A</v>
      </c>
      <c r="K476" s="29" t="e">
        <f>IF(AND((A476&lt;'PSP Data'!$C$11),(A476&lt;&gt;0)),Analysis!C476,#N/A)</f>
        <v>#N/A</v>
      </c>
      <c r="L476" t="e">
        <f>IF(VLOOKUP(B476,Table1[],4)=0,"unknown", VLOOKUP(B476,Table1[],4))</f>
        <v>#N/A</v>
      </c>
      <c r="M476">
        <v>1</v>
      </c>
      <c r="N476" t="e">
        <f t="shared" si="36"/>
        <v>#N/A</v>
      </c>
      <c r="O476" t="str">
        <f t="shared" si="37"/>
        <v/>
      </c>
      <c r="P476" t="str">
        <f t="shared" si="38"/>
        <v/>
      </c>
      <c r="Q476" t="str">
        <f t="shared" si="39"/>
        <v/>
      </c>
      <c r="R476">
        <v>1</v>
      </c>
    </row>
    <row r="477" spans="1:18">
      <c r="A477">
        <f>'PSP Data'!A480</f>
        <v>0</v>
      </c>
      <c r="B477" t="str">
        <f>IF('PSP Data'!B480=0,"",'PSP Data'!B480)</f>
        <v/>
      </c>
      <c r="C477">
        <f>'PSP Data'!C480</f>
        <v>0</v>
      </c>
      <c r="D477">
        <f>'PSP Data'!D480</f>
        <v>0</v>
      </c>
      <c r="E477">
        <f>'PSP Data'!E480</f>
        <v>0</v>
      </c>
      <c r="F477">
        <f>'PSP Data'!F480</f>
        <v>0</v>
      </c>
      <c r="G477">
        <f>'PSP Data'!G480</f>
        <v>0</v>
      </c>
      <c r="H477">
        <f>'PSP Data'!H480</f>
        <v>0</v>
      </c>
      <c r="I477">
        <f>'PSP Data'!I480</f>
        <v>0</v>
      </c>
      <c r="J477" s="29" t="e">
        <f t="shared" si="35"/>
        <v>#N/A</v>
      </c>
      <c r="K477" s="29" t="e">
        <f>IF(AND((A477&lt;'PSP Data'!$C$11),(A477&lt;&gt;0)),Analysis!C477,#N/A)</f>
        <v>#N/A</v>
      </c>
      <c r="L477" t="e">
        <f>IF(VLOOKUP(B477,Table1[],4)=0,"unknown", VLOOKUP(B477,Table1[],4))</f>
        <v>#N/A</v>
      </c>
      <c r="M477">
        <v>1</v>
      </c>
      <c r="N477" t="e">
        <f t="shared" si="36"/>
        <v>#N/A</v>
      </c>
      <c r="O477" t="str">
        <f t="shared" si="37"/>
        <v/>
      </c>
      <c r="P477" t="str">
        <f t="shared" si="38"/>
        <v/>
      </c>
      <c r="Q477" t="str">
        <f t="shared" si="39"/>
        <v/>
      </c>
      <c r="R477">
        <v>1</v>
      </c>
    </row>
    <row r="478" spans="1:18">
      <c r="A478">
        <f>'PSP Data'!A481</f>
        <v>0</v>
      </c>
      <c r="B478" t="str">
        <f>IF('PSP Data'!B481=0,"",'PSP Data'!B481)</f>
        <v/>
      </c>
      <c r="C478">
        <f>'PSP Data'!C481</f>
        <v>0</v>
      </c>
      <c r="D478">
        <f>'PSP Data'!D481</f>
        <v>0</v>
      </c>
      <c r="E478">
        <f>'PSP Data'!E481</f>
        <v>0</v>
      </c>
      <c r="F478">
        <f>'PSP Data'!F481</f>
        <v>0</v>
      </c>
      <c r="G478">
        <f>'PSP Data'!G481</f>
        <v>0</v>
      </c>
      <c r="H478">
        <f>'PSP Data'!H481</f>
        <v>0</v>
      </c>
      <c r="I478">
        <f>'PSP Data'!I481</f>
        <v>0</v>
      </c>
      <c r="J478" s="29" t="e">
        <f t="shared" si="35"/>
        <v>#N/A</v>
      </c>
      <c r="K478" s="29" t="e">
        <f>IF(AND((A478&lt;'PSP Data'!$C$11),(A478&lt;&gt;0)),Analysis!C478,#N/A)</f>
        <v>#N/A</v>
      </c>
      <c r="L478" t="e">
        <f>IF(VLOOKUP(B478,Table1[],4)=0,"unknown", VLOOKUP(B478,Table1[],4))</f>
        <v>#N/A</v>
      </c>
      <c r="M478">
        <v>1</v>
      </c>
      <c r="N478" t="e">
        <f t="shared" si="36"/>
        <v>#N/A</v>
      </c>
      <c r="O478" t="str">
        <f t="shared" si="37"/>
        <v/>
      </c>
      <c r="P478" t="str">
        <f t="shared" si="38"/>
        <v/>
      </c>
      <c r="Q478" t="str">
        <f t="shared" si="39"/>
        <v/>
      </c>
      <c r="R478">
        <v>1</v>
      </c>
    </row>
    <row r="479" spans="1:18">
      <c r="A479">
        <f>'PSP Data'!A482</f>
        <v>0</v>
      </c>
      <c r="B479" t="str">
        <f>IF('PSP Data'!B482=0,"",'PSP Data'!B482)</f>
        <v/>
      </c>
      <c r="C479">
        <f>'PSP Data'!C482</f>
        <v>0</v>
      </c>
      <c r="D479">
        <f>'PSP Data'!D482</f>
        <v>0</v>
      </c>
      <c r="E479">
        <f>'PSP Data'!E482</f>
        <v>0</v>
      </c>
      <c r="F479">
        <f>'PSP Data'!F482</f>
        <v>0</v>
      </c>
      <c r="G479">
        <f>'PSP Data'!G482</f>
        <v>0</v>
      </c>
      <c r="H479">
        <f>'PSP Data'!H482</f>
        <v>0</v>
      </c>
      <c r="I479">
        <f>'PSP Data'!I482</f>
        <v>0</v>
      </c>
      <c r="J479" s="29" t="e">
        <f t="shared" si="35"/>
        <v>#N/A</v>
      </c>
      <c r="K479" s="29" t="e">
        <f>IF(AND((A479&lt;'PSP Data'!$C$11),(A479&lt;&gt;0)),Analysis!C479,#N/A)</f>
        <v>#N/A</v>
      </c>
      <c r="L479" t="e">
        <f>IF(VLOOKUP(B479,Table1[],4)=0,"unknown", VLOOKUP(B479,Table1[],4))</f>
        <v>#N/A</v>
      </c>
      <c r="M479">
        <v>1</v>
      </c>
      <c r="N479" t="e">
        <f t="shared" si="36"/>
        <v>#N/A</v>
      </c>
      <c r="O479" t="str">
        <f t="shared" si="37"/>
        <v/>
      </c>
      <c r="P479" t="str">
        <f t="shared" si="38"/>
        <v/>
      </c>
      <c r="Q479" t="str">
        <f t="shared" si="39"/>
        <v/>
      </c>
      <c r="R479">
        <v>1</v>
      </c>
    </row>
    <row r="480" spans="1:18">
      <c r="A480">
        <f>'PSP Data'!A483</f>
        <v>0</v>
      </c>
      <c r="B480" t="str">
        <f>IF('PSP Data'!B483=0,"",'PSP Data'!B483)</f>
        <v/>
      </c>
      <c r="C480">
        <f>'PSP Data'!C483</f>
        <v>0</v>
      </c>
      <c r="D480">
        <f>'PSP Data'!D483</f>
        <v>0</v>
      </c>
      <c r="E480">
        <f>'PSP Data'!E483</f>
        <v>0</v>
      </c>
      <c r="F480">
        <f>'PSP Data'!F483</f>
        <v>0</v>
      </c>
      <c r="G480">
        <f>'PSP Data'!G483</f>
        <v>0</v>
      </c>
      <c r="H480">
        <f>'PSP Data'!H483</f>
        <v>0</v>
      </c>
      <c r="I480">
        <f>'PSP Data'!I483</f>
        <v>0</v>
      </c>
      <c r="J480" s="29" t="e">
        <f t="shared" si="35"/>
        <v>#N/A</v>
      </c>
      <c r="K480" s="29" t="e">
        <f>IF(AND((A480&lt;'PSP Data'!$C$11),(A480&lt;&gt;0)),Analysis!C480,#N/A)</f>
        <v>#N/A</v>
      </c>
      <c r="L480" t="e">
        <f>IF(VLOOKUP(B480,Table1[],4)=0,"unknown", VLOOKUP(B480,Table1[],4))</f>
        <v>#N/A</v>
      </c>
      <c r="M480">
        <v>1</v>
      </c>
      <c r="N480" t="e">
        <f t="shared" si="36"/>
        <v>#N/A</v>
      </c>
      <c r="O480" t="str">
        <f t="shared" si="37"/>
        <v/>
      </c>
      <c r="P480" t="str">
        <f t="shared" si="38"/>
        <v/>
      </c>
      <c r="Q480" t="str">
        <f t="shared" si="39"/>
        <v/>
      </c>
      <c r="R480">
        <v>1</v>
      </c>
    </row>
    <row r="481" spans="1:18">
      <c r="A481">
        <f>'PSP Data'!A484</f>
        <v>0</v>
      </c>
      <c r="B481" t="str">
        <f>IF('PSP Data'!B484=0,"",'PSP Data'!B484)</f>
        <v/>
      </c>
      <c r="C481">
        <f>'PSP Data'!C484</f>
        <v>0</v>
      </c>
      <c r="D481">
        <f>'PSP Data'!D484</f>
        <v>0</v>
      </c>
      <c r="E481">
        <f>'PSP Data'!E484</f>
        <v>0</v>
      </c>
      <c r="F481">
        <f>'PSP Data'!F484</f>
        <v>0</v>
      </c>
      <c r="G481">
        <f>'PSP Data'!G484</f>
        <v>0</v>
      </c>
      <c r="H481">
        <f>'PSP Data'!H484</f>
        <v>0</v>
      </c>
      <c r="I481">
        <f>'PSP Data'!I484</f>
        <v>0</v>
      </c>
      <c r="J481" s="29" t="e">
        <f t="shared" si="35"/>
        <v>#N/A</v>
      </c>
      <c r="K481" s="29" t="e">
        <f>IF(AND((A481&lt;'PSP Data'!$C$11),(A481&lt;&gt;0)),Analysis!C481,#N/A)</f>
        <v>#N/A</v>
      </c>
      <c r="L481" t="e">
        <f>IF(VLOOKUP(B481,Table1[],4)=0,"unknown", VLOOKUP(B481,Table1[],4))</f>
        <v>#N/A</v>
      </c>
      <c r="M481">
        <v>1</v>
      </c>
      <c r="N481" t="e">
        <f t="shared" si="36"/>
        <v>#N/A</v>
      </c>
      <c r="O481" t="str">
        <f t="shared" si="37"/>
        <v/>
      </c>
      <c r="P481" t="str">
        <f t="shared" si="38"/>
        <v/>
      </c>
      <c r="Q481" t="str">
        <f t="shared" si="39"/>
        <v/>
      </c>
      <c r="R481">
        <v>1</v>
      </c>
    </row>
    <row r="482" spans="1:18">
      <c r="A482">
        <f>'PSP Data'!A485</f>
        <v>0</v>
      </c>
      <c r="B482" t="str">
        <f>IF('PSP Data'!B485=0,"",'PSP Data'!B485)</f>
        <v/>
      </c>
      <c r="C482">
        <f>'PSP Data'!C485</f>
        <v>0</v>
      </c>
      <c r="D482">
        <f>'PSP Data'!D485</f>
        <v>0</v>
      </c>
      <c r="E482">
        <f>'PSP Data'!E485</f>
        <v>0</v>
      </c>
      <c r="F482">
        <f>'PSP Data'!F485</f>
        <v>0</v>
      </c>
      <c r="G482">
        <f>'PSP Data'!G485</f>
        <v>0</v>
      </c>
      <c r="H482">
        <f>'PSP Data'!H485</f>
        <v>0</v>
      </c>
      <c r="I482">
        <f>'PSP Data'!I485</f>
        <v>0</v>
      </c>
      <c r="J482" s="29" t="e">
        <f t="shared" si="35"/>
        <v>#N/A</v>
      </c>
      <c r="K482" s="29" t="e">
        <f>IF(AND((A482&lt;'PSP Data'!$C$11),(A482&lt;&gt;0)),Analysis!C482,#N/A)</f>
        <v>#N/A</v>
      </c>
      <c r="L482" t="e">
        <f>IF(VLOOKUP(B482,Table1[],4)=0,"unknown", VLOOKUP(B482,Table1[],4))</f>
        <v>#N/A</v>
      </c>
      <c r="M482">
        <v>1</v>
      </c>
      <c r="N482" t="e">
        <f t="shared" si="36"/>
        <v>#N/A</v>
      </c>
      <c r="O482" t="str">
        <f t="shared" si="37"/>
        <v/>
      </c>
      <c r="P482" t="str">
        <f t="shared" si="38"/>
        <v/>
      </c>
      <c r="Q482" t="str">
        <f t="shared" si="39"/>
        <v/>
      </c>
      <c r="R482">
        <v>1</v>
      </c>
    </row>
    <row r="483" spans="1:18">
      <c r="A483">
        <f>'PSP Data'!A486</f>
        <v>0</v>
      </c>
      <c r="B483" t="str">
        <f>IF('PSP Data'!B486=0,"",'PSP Data'!B486)</f>
        <v/>
      </c>
      <c r="C483">
        <f>'PSP Data'!C486</f>
        <v>0</v>
      </c>
      <c r="D483">
        <f>'PSP Data'!D486</f>
        <v>0</v>
      </c>
      <c r="E483">
        <f>'PSP Data'!E486</f>
        <v>0</v>
      </c>
      <c r="F483">
        <f>'PSP Data'!F486</f>
        <v>0</v>
      </c>
      <c r="G483">
        <f>'PSP Data'!G486</f>
        <v>0</v>
      </c>
      <c r="H483">
        <f>'PSP Data'!H486</f>
        <v>0</v>
      </c>
      <c r="I483">
        <f>'PSP Data'!I486</f>
        <v>0</v>
      </c>
      <c r="J483" s="29" t="e">
        <f t="shared" si="35"/>
        <v>#N/A</v>
      </c>
      <c r="K483" s="29" t="e">
        <f>IF(AND((A483&lt;'PSP Data'!$C$11),(A483&lt;&gt;0)),Analysis!C483,#N/A)</f>
        <v>#N/A</v>
      </c>
      <c r="L483" t="e">
        <f>IF(VLOOKUP(B483,Table1[],4)=0,"unknown", VLOOKUP(B483,Table1[],4))</f>
        <v>#N/A</v>
      </c>
      <c r="M483">
        <v>1</v>
      </c>
      <c r="N483" t="e">
        <f t="shared" si="36"/>
        <v>#N/A</v>
      </c>
      <c r="O483" t="str">
        <f t="shared" si="37"/>
        <v/>
      </c>
      <c r="P483" t="str">
        <f t="shared" si="38"/>
        <v/>
      </c>
      <c r="Q483" t="str">
        <f t="shared" si="39"/>
        <v/>
      </c>
      <c r="R483">
        <v>1</v>
      </c>
    </row>
    <row r="484" spans="1:18">
      <c r="A484">
        <f>'PSP Data'!A487</f>
        <v>0</v>
      </c>
      <c r="B484" t="str">
        <f>IF('PSP Data'!B487=0,"",'PSP Data'!B487)</f>
        <v/>
      </c>
      <c r="C484">
        <f>'PSP Data'!C487</f>
        <v>0</v>
      </c>
      <c r="D484">
        <f>'PSP Data'!D487</f>
        <v>0</v>
      </c>
      <c r="E484">
        <f>'PSP Data'!E487</f>
        <v>0</v>
      </c>
      <c r="F484">
        <f>'PSP Data'!F487</f>
        <v>0</v>
      </c>
      <c r="G484">
        <f>'PSP Data'!G487</f>
        <v>0</v>
      </c>
      <c r="H484">
        <f>'PSP Data'!H487</f>
        <v>0</v>
      </c>
      <c r="I484">
        <f>'PSP Data'!I487</f>
        <v>0</v>
      </c>
      <c r="J484" s="29" t="e">
        <f t="shared" si="35"/>
        <v>#N/A</v>
      </c>
      <c r="K484" s="29" t="e">
        <f>IF(AND((A484&lt;'PSP Data'!$C$11),(A484&lt;&gt;0)),Analysis!C484,#N/A)</f>
        <v>#N/A</v>
      </c>
      <c r="L484" t="e">
        <f>IF(VLOOKUP(B484,Table1[],4)=0,"unknown", VLOOKUP(B484,Table1[],4))</f>
        <v>#N/A</v>
      </c>
      <c r="M484">
        <v>1</v>
      </c>
      <c r="N484" t="e">
        <f t="shared" si="36"/>
        <v>#N/A</v>
      </c>
      <c r="O484" t="str">
        <f t="shared" si="37"/>
        <v/>
      </c>
      <c r="P484" t="str">
        <f t="shared" si="38"/>
        <v/>
      </c>
      <c r="Q484" t="str">
        <f t="shared" si="39"/>
        <v/>
      </c>
      <c r="R484">
        <v>1</v>
      </c>
    </row>
    <row r="485" spans="1:18">
      <c r="A485">
        <f>'PSP Data'!A488</f>
        <v>0</v>
      </c>
      <c r="B485" t="str">
        <f>IF('PSP Data'!B488=0,"",'PSP Data'!B488)</f>
        <v/>
      </c>
      <c r="C485">
        <f>'PSP Data'!C488</f>
        <v>0</v>
      </c>
      <c r="D485">
        <f>'PSP Data'!D488</f>
        <v>0</v>
      </c>
      <c r="E485">
        <f>'PSP Data'!E488</f>
        <v>0</v>
      </c>
      <c r="F485">
        <f>'PSP Data'!F488</f>
        <v>0</v>
      </c>
      <c r="G485">
        <f>'PSP Data'!G488</f>
        <v>0</v>
      </c>
      <c r="H485">
        <f>'PSP Data'!H488</f>
        <v>0</v>
      </c>
      <c r="I485">
        <f>'PSP Data'!I488</f>
        <v>0</v>
      </c>
      <c r="J485" s="29" t="e">
        <f t="shared" si="35"/>
        <v>#N/A</v>
      </c>
      <c r="K485" s="29" t="e">
        <f>IF(AND((A485&lt;'PSP Data'!$C$11),(A485&lt;&gt;0)),Analysis!C485,#N/A)</f>
        <v>#N/A</v>
      </c>
      <c r="L485" t="e">
        <f>IF(VLOOKUP(B485,Table1[],4)=0,"unknown", VLOOKUP(B485,Table1[],4))</f>
        <v>#N/A</v>
      </c>
      <c r="M485">
        <v>1</v>
      </c>
      <c r="N485" t="e">
        <f t="shared" si="36"/>
        <v>#N/A</v>
      </c>
      <c r="O485" t="str">
        <f t="shared" si="37"/>
        <v/>
      </c>
      <c r="P485" t="str">
        <f t="shared" si="38"/>
        <v/>
      </c>
      <c r="Q485" t="str">
        <f t="shared" si="39"/>
        <v/>
      </c>
      <c r="R485">
        <v>1</v>
      </c>
    </row>
    <row r="486" spans="1:18">
      <c r="A486">
        <f>'PSP Data'!A489</f>
        <v>0</v>
      </c>
      <c r="B486" t="str">
        <f>IF('PSP Data'!B489=0,"",'PSP Data'!B489)</f>
        <v/>
      </c>
      <c r="C486">
        <f>'PSP Data'!C489</f>
        <v>0</v>
      </c>
      <c r="D486">
        <f>'PSP Data'!D489</f>
        <v>0</v>
      </c>
      <c r="E486">
        <f>'PSP Data'!E489</f>
        <v>0</v>
      </c>
      <c r="F486">
        <f>'PSP Data'!F489</f>
        <v>0</v>
      </c>
      <c r="G486">
        <f>'PSP Data'!G489</f>
        <v>0</v>
      </c>
      <c r="H486">
        <f>'PSP Data'!H489</f>
        <v>0</v>
      </c>
      <c r="I486">
        <f>'PSP Data'!I489</f>
        <v>0</v>
      </c>
      <c r="J486" s="29" t="e">
        <f t="shared" si="35"/>
        <v>#N/A</v>
      </c>
      <c r="K486" s="29" t="e">
        <f>IF(AND((A486&lt;'PSP Data'!$C$11),(A486&lt;&gt;0)),Analysis!C486,#N/A)</f>
        <v>#N/A</v>
      </c>
      <c r="L486" t="e">
        <f>IF(VLOOKUP(B486,Table1[],4)=0,"unknown", VLOOKUP(B486,Table1[],4))</f>
        <v>#N/A</v>
      </c>
      <c r="M486">
        <v>1</v>
      </c>
      <c r="N486" t="e">
        <f t="shared" si="36"/>
        <v>#N/A</v>
      </c>
      <c r="O486" t="str">
        <f t="shared" si="37"/>
        <v/>
      </c>
      <c r="P486" t="str">
        <f t="shared" si="38"/>
        <v/>
      </c>
      <c r="Q486" t="str">
        <f t="shared" si="39"/>
        <v/>
      </c>
      <c r="R486">
        <v>1</v>
      </c>
    </row>
    <row r="487" spans="1:18">
      <c r="A487">
        <f>'PSP Data'!A490</f>
        <v>0</v>
      </c>
      <c r="B487" t="str">
        <f>IF('PSP Data'!B490=0,"",'PSP Data'!B490)</f>
        <v/>
      </c>
      <c r="C487">
        <f>'PSP Data'!C490</f>
        <v>0</v>
      </c>
      <c r="D487">
        <f>'PSP Data'!D490</f>
        <v>0</v>
      </c>
      <c r="E487">
        <f>'PSP Data'!E490</f>
        <v>0</v>
      </c>
      <c r="F487">
        <f>'PSP Data'!F490</f>
        <v>0</v>
      </c>
      <c r="G487">
        <f>'PSP Data'!G490</f>
        <v>0</v>
      </c>
      <c r="H487">
        <f>'PSP Data'!H490</f>
        <v>0</v>
      </c>
      <c r="I487">
        <f>'PSP Data'!I490</f>
        <v>0</v>
      </c>
      <c r="J487" s="29" t="e">
        <f t="shared" si="35"/>
        <v>#N/A</v>
      </c>
      <c r="K487" s="29" t="e">
        <f>IF(AND((A487&lt;'PSP Data'!$C$11),(A487&lt;&gt;0)),Analysis!C487,#N/A)</f>
        <v>#N/A</v>
      </c>
      <c r="L487" t="e">
        <f>IF(VLOOKUP(B487,Table1[],4)=0,"unknown", VLOOKUP(B487,Table1[],4))</f>
        <v>#N/A</v>
      </c>
      <c r="M487">
        <v>1</v>
      </c>
      <c r="N487" t="e">
        <f t="shared" si="36"/>
        <v>#N/A</v>
      </c>
      <c r="O487" t="str">
        <f t="shared" si="37"/>
        <v/>
      </c>
      <c r="P487" t="str">
        <f t="shared" si="38"/>
        <v/>
      </c>
      <c r="Q487" t="str">
        <f t="shared" si="39"/>
        <v/>
      </c>
      <c r="R487">
        <v>1</v>
      </c>
    </row>
    <row r="488" spans="1:18">
      <c r="A488">
        <f>'PSP Data'!A491</f>
        <v>0</v>
      </c>
      <c r="B488" t="str">
        <f>IF('PSP Data'!B491=0,"",'PSP Data'!B491)</f>
        <v/>
      </c>
      <c r="C488">
        <f>'PSP Data'!C491</f>
        <v>0</v>
      </c>
      <c r="D488">
        <f>'PSP Data'!D491</f>
        <v>0</v>
      </c>
      <c r="E488">
        <f>'PSP Data'!E491</f>
        <v>0</v>
      </c>
      <c r="F488">
        <f>'PSP Data'!F491</f>
        <v>0</v>
      </c>
      <c r="G488">
        <f>'PSP Data'!G491</f>
        <v>0</v>
      </c>
      <c r="H488">
        <f>'PSP Data'!H491</f>
        <v>0</v>
      </c>
      <c r="I488">
        <f>'PSP Data'!I491</f>
        <v>0</v>
      </c>
      <c r="J488" s="29" t="e">
        <f t="shared" si="35"/>
        <v>#N/A</v>
      </c>
      <c r="K488" s="29" t="e">
        <f>IF(AND((A488&lt;'PSP Data'!$C$11),(A488&lt;&gt;0)),Analysis!C488,#N/A)</f>
        <v>#N/A</v>
      </c>
      <c r="L488" t="e">
        <f>IF(VLOOKUP(B488,Table1[],4)=0,"unknown", VLOOKUP(B488,Table1[],4))</f>
        <v>#N/A</v>
      </c>
      <c r="M488">
        <v>1</v>
      </c>
      <c r="N488" t="e">
        <f t="shared" si="36"/>
        <v>#N/A</v>
      </c>
      <c r="O488" t="str">
        <f t="shared" si="37"/>
        <v/>
      </c>
      <c r="P488" t="str">
        <f t="shared" si="38"/>
        <v/>
      </c>
      <c r="Q488" t="str">
        <f t="shared" si="39"/>
        <v/>
      </c>
      <c r="R488">
        <v>1</v>
      </c>
    </row>
    <row r="489" spans="1:18">
      <c r="A489">
        <f>'PSP Data'!A492</f>
        <v>0</v>
      </c>
      <c r="B489" t="str">
        <f>IF('PSP Data'!B492=0,"",'PSP Data'!B492)</f>
        <v/>
      </c>
      <c r="C489">
        <f>'PSP Data'!C492</f>
        <v>0</v>
      </c>
      <c r="D489">
        <f>'PSP Data'!D492</f>
        <v>0</v>
      </c>
      <c r="E489">
        <f>'PSP Data'!E492</f>
        <v>0</v>
      </c>
      <c r="F489">
        <f>'PSP Data'!F492</f>
        <v>0</v>
      </c>
      <c r="G489">
        <f>'PSP Data'!G492</f>
        <v>0</v>
      </c>
      <c r="H489">
        <f>'PSP Data'!H492</f>
        <v>0</v>
      </c>
      <c r="I489">
        <f>'PSP Data'!I492</f>
        <v>0</v>
      </c>
      <c r="J489" s="29" t="e">
        <f t="shared" si="35"/>
        <v>#N/A</v>
      </c>
      <c r="K489" s="29" t="e">
        <f>IF(AND((A489&lt;'PSP Data'!$C$11),(A489&lt;&gt;0)),Analysis!C489,#N/A)</f>
        <v>#N/A</v>
      </c>
      <c r="L489" t="e">
        <f>IF(VLOOKUP(B489,Table1[],4)=0,"unknown", VLOOKUP(B489,Table1[],4))</f>
        <v>#N/A</v>
      </c>
      <c r="M489">
        <v>1</v>
      </c>
      <c r="N489" t="e">
        <f t="shared" si="36"/>
        <v>#N/A</v>
      </c>
      <c r="O489" t="str">
        <f t="shared" si="37"/>
        <v/>
      </c>
      <c r="P489" t="str">
        <f t="shared" si="38"/>
        <v/>
      </c>
      <c r="Q489" t="str">
        <f t="shared" si="39"/>
        <v/>
      </c>
      <c r="R489">
        <v>1</v>
      </c>
    </row>
    <row r="490" spans="1:18">
      <c r="A490">
        <f>'PSP Data'!A493</f>
        <v>0</v>
      </c>
      <c r="B490" t="str">
        <f>IF('PSP Data'!B493=0,"",'PSP Data'!B493)</f>
        <v/>
      </c>
      <c r="C490">
        <f>'PSP Data'!C493</f>
        <v>0</v>
      </c>
      <c r="D490">
        <f>'PSP Data'!D493</f>
        <v>0</v>
      </c>
      <c r="E490">
        <f>'PSP Data'!E493</f>
        <v>0</v>
      </c>
      <c r="F490">
        <f>'PSP Data'!F493</f>
        <v>0</v>
      </c>
      <c r="G490">
        <f>'PSP Data'!G493</f>
        <v>0</v>
      </c>
      <c r="H490">
        <f>'PSP Data'!H493</f>
        <v>0</v>
      </c>
      <c r="I490">
        <f>'PSP Data'!I493</f>
        <v>0</v>
      </c>
      <c r="J490" s="29" t="e">
        <f t="shared" si="35"/>
        <v>#N/A</v>
      </c>
      <c r="K490" s="29" t="e">
        <f>IF(AND((A490&lt;'PSP Data'!$C$11),(A490&lt;&gt;0)),Analysis!C490,#N/A)</f>
        <v>#N/A</v>
      </c>
      <c r="L490" t="e">
        <f>IF(VLOOKUP(B490,Table1[],4)=0,"unknown", VLOOKUP(B490,Table1[],4))</f>
        <v>#N/A</v>
      </c>
      <c r="M490">
        <v>1</v>
      </c>
      <c r="N490" t="e">
        <f t="shared" si="36"/>
        <v>#N/A</v>
      </c>
      <c r="O490" t="str">
        <f t="shared" si="37"/>
        <v/>
      </c>
      <c r="P490" t="str">
        <f t="shared" si="38"/>
        <v/>
      </c>
      <c r="Q490" t="str">
        <f t="shared" si="39"/>
        <v/>
      </c>
      <c r="R490">
        <v>1</v>
      </c>
    </row>
    <row r="491" spans="1:18">
      <c r="A491">
        <f>'PSP Data'!A494</f>
        <v>0</v>
      </c>
      <c r="B491" t="str">
        <f>IF('PSP Data'!B494=0,"",'PSP Data'!B494)</f>
        <v/>
      </c>
      <c r="C491">
        <f>'PSP Data'!C494</f>
        <v>0</v>
      </c>
      <c r="D491">
        <f>'PSP Data'!D494</f>
        <v>0</v>
      </c>
      <c r="E491">
        <f>'PSP Data'!E494</f>
        <v>0</v>
      </c>
      <c r="F491">
        <f>'PSP Data'!F494</f>
        <v>0</v>
      </c>
      <c r="G491">
        <f>'PSP Data'!G494</f>
        <v>0</v>
      </c>
      <c r="H491">
        <f>'PSP Data'!H494</f>
        <v>0</v>
      </c>
      <c r="I491">
        <f>'PSP Data'!I494</f>
        <v>0</v>
      </c>
      <c r="J491" s="29" t="e">
        <f t="shared" si="35"/>
        <v>#N/A</v>
      </c>
      <c r="K491" s="29" t="e">
        <f>IF(AND((A491&lt;'PSP Data'!$C$11),(A491&lt;&gt;0)),Analysis!C491,#N/A)</f>
        <v>#N/A</v>
      </c>
      <c r="L491" t="e">
        <f>IF(VLOOKUP(B491,Table1[],4)=0,"unknown", VLOOKUP(B491,Table1[],4))</f>
        <v>#N/A</v>
      </c>
      <c r="M491">
        <v>1</v>
      </c>
      <c r="N491" t="e">
        <f t="shared" si="36"/>
        <v>#N/A</v>
      </c>
      <c r="O491" t="str">
        <f t="shared" si="37"/>
        <v/>
      </c>
      <c r="P491" t="str">
        <f t="shared" si="38"/>
        <v/>
      </c>
      <c r="Q491" t="str">
        <f t="shared" si="39"/>
        <v/>
      </c>
      <c r="R491">
        <v>1</v>
      </c>
    </row>
    <row r="492" spans="1:18">
      <c r="A492">
        <f>'PSP Data'!A495</f>
        <v>0</v>
      </c>
      <c r="B492" t="str">
        <f>IF('PSP Data'!B495=0,"",'PSP Data'!B495)</f>
        <v/>
      </c>
      <c r="C492">
        <f>'PSP Data'!C495</f>
        <v>0</v>
      </c>
      <c r="D492">
        <f>'PSP Data'!D495</f>
        <v>0</v>
      </c>
      <c r="E492">
        <f>'PSP Data'!E495</f>
        <v>0</v>
      </c>
      <c r="F492">
        <f>'PSP Data'!F495</f>
        <v>0</v>
      </c>
      <c r="G492">
        <f>'PSP Data'!G495</f>
        <v>0</v>
      </c>
      <c r="H492">
        <f>'PSP Data'!H495</f>
        <v>0</v>
      </c>
      <c r="I492">
        <f>'PSP Data'!I495</f>
        <v>0</v>
      </c>
      <c r="J492" s="29" t="e">
        <f t="shared" si="35"/>
        <v>#N/A</v>
      </c>
      <c r="K492" s="29" t="e">
        <f>IF(AND((A492&lt;'PSP Data'!$C$11),(A492&lt;&gt;0)),Analysis!C492,#N/A)</f>
        <v>#N/A</v>
      </c>
      <c r="L492" t="e">
        <f>IF(VLOOKUP(B492,Table1[],4)=0,"unknown", VLOOKUP(B492,Table1[],4))</f>
        <v>#N/A</v>
      </c>
      <c r="M492">
        <v>1</v>
      </c>
      <c r="N492" t="e">
        <f t="shared" si="36"/>
        <v>#N/A</v>
      </c>
      <c r="O492" t="str">
        <f t="shared" si="37"/>
        <v/>
      </c>
      <c r="P492" t="str">
        <f t="shared" si="38"/>
        <v/>
      </c>
      <c r="Q492" t="str">
        <f t="shared" si="39"/>
        <v/>
      </c>
      <c r="R492">
        <v>1</v>
      </c>
    </row>
    <row r="493" spans="1:18">
      <c r="A493">
        <f>'PSP Data'!A496</f>
        <v>0</v>
      </c>
      <c r="B493" t="str">
        <f>IF('PSP Data'!B496=0,"",'PSP Data'!B496)</f>
        <v/>
      </c>
      <c r="C493">
        <f>'PSP Data'!C496</f>
        <v>0</v>
      </c>
      <c r="D493">
        <f>'PSP Data'!D496</f>
        <v>0</v>
      </c>
      <c r="E493">
        <f>'PSP Data'!E496</f>
        <v>0</v>
      </c>
      <c r="F493">
        <f>'PSP Data'!F496</f>
        <v>0</v>
      </c>
      <c r="G493">
        <f>'PSP Data'!G496</f>
        <v>0</v>
      </c>
      <c r="H493">
        <f>'PSP Data'!H496</f>
        <v>0</v>
      </c>
      <c r="I493">
        <f>'PSP Data'!I496</f>
        <v>0</v>
      </c>
      <c r="J493" s="29" t="e">
        <f t="shared" si="35"/>
        <v>#N/A</v>
      </c>
      <c r="K493" s="29" t="e">
        <f>IF(AND((A493&lt;'PSP Data'!$C$11),(A493&lt;&gt;0)),Analysis!C493,#N/A)</f>
        <v>#N/A</v>
      </c>
      <c r="L493" t="e">
        <f>IF(VLOOKUP(B493,Table1[],4)=0,"unknown", VLOOKUP(B493,Table1[],4))</f>
        <v>#N/A</v>
      </c>
      <c r="M493">
        <v>1</v>
      </c>
      <c r="N493" t="e">
        <f t="shared" si="36"/>
        <v>#N/A</v>
      </c>
      <c r="O493" t="str">
        <f t="shared" si="37"/>
        <v/>
      </c>
      <c r="P493" t="str">
        <f t="shared" si="38"/>
        <v/>
      </c>
      <c r="Q493" t="str">
        <f t="shared" si="39"/>
        <v/>
      </c>
      <c r="R493">
        <v>1</v>
      </c>
    </row>
    <row r="494" spans="1:18">
      <c r="A494">
        <f>'PSP Data'!A497</f>
        <v>0</v>
      </c>
      <c r="B494" t="str">
        <f>IF('PSP Data'!B497=0,"",'PSP Data'!B497)</f>
        <v/>
      </c>
      <c r="C494">
        <f>'PSP Data'!C497</f>
        <v>0</v>
      </c>
      <c r="D494">
        <f>'PSP Data'!D497</f>
        <v>0</v>
      </c>
      <c r="E494">
        <f>'PSP Data'!E497</f>
        <v>0</v>
      </c>
      <c r="F494">
        <f>'PSP Data'!F497</f>
        <v>0</v>
      </c>
      <c r="G494">
        <f>'PSP Data'!G497</f>
        <v>0</v>
      </c>
      <c r="H494">
        <f>'PSP Data'!H497</f>
        <v>0</v>
      </c>
      <c r="I494">
        <f>'PSP Data'!I497</f>
        <v>0</v>
      </c>
      <c r="J494" s="29" t="e">
        <f t="shared" si="35"/>
        <v>#N/A</v>
      </c>
      <c r="K494" s="29" t="e">
        <f>IF(AND((A494&lt;'PSP Data'!$C$11),(A494&lt;&gt;0)),Analysis!C494,#N/A)</f>
        <v>#N/A</v>
      </c>
      <c r="L494" t="e">
        <f>IF(VLOOKUP(B494,Table1[],4)=0,"unknown", VLOOKUP(B494,Table1[],4))</f>
        <v>#N/A</v>
      </c>
      <c r="M494">
        <v>1</v>
      </c>
      <c r="N494" t="e">
        <f t="shared" si="36"/>
        <v>#N/A</v>
      </c>
      <c r="O494" t="str">
        <f t="shared" si="37"/>
        <v/>
      </c>
      <c r="P494" t="str">
        <f t="shared" si="38"/>
        <v/>
      </c>
      <c r="Q494" t="str">
        <f t="shared" si="39"/>
        <v/>
      </c>
      <c r="R494">
        <v>1</v>
      </c>
    </row>
    <row r="495" spans="1:18">
      <c r="A495">
        <f>'PSP Data'!A498</f>
        <v>0</v>
      </c>
      <c r="B495" t="str">
        <f>IF('PSP Data'!B498=0,"",'PSP Data'!B498)</f>
        <v/>
      </c>
      <c r="C495">
        <f>'PSP Data'!C498</f>
        <v>0</v>
      </c>
      <c r="D495">
        <f>'PSP Data'!D498</f>
        <v>0</v>
      </c>
      <c r="E495">
        <f>'PSP Data'!E498</f>
        <v>0</v>
      </c>
      <c r="F495">
        <f>'PSP Data'!F498</f>
        <v>0</v>
      </c>
      <c r="G495">
        <f>'PSP Data'!G498</f>
        <v>0</v>
      </c>
      <c r="H495">
        <f>'PSP Data'!H498</f>
        <v>0</v>
      </c>
      <c r="I495">
        <f>'PSP Data'!I498</f>
        <v>0</v>
      </c>
      <c r="J495" s="29" t="e">
        <f t="shared" si="35"/>
        <v>#N/A</v>
      </c>
      <c r="K495" s="29" t="e">
        <f>IF(AND((A495&lt;'PSP Data'!$C$11),(A495&lt;&gt;0)),Analysis!C495,#N/A)</f>
        <v>#N/A</v>
      </c>
      <c r="L495" t="e">
        <f>IF(VLOOKUP(B495,Table1[],4)=0,"unknown", VLOOKUP(B495,Table1[],4))</f>
        <v>#N/A</v>
      </c>
      <c r="M495">
        <v>1</v>
      </c>
      <c r="N495" t="e">
        <f t="shared" si="36"/>
        <v>#N/A</v>
      </c>
      <c r="O495" t="str">
        <f t="shared" si="37"/>
        <v/>
      </c>
      <c r="P495" t="str">
        <f t="shared" si="38"/>
        <v/>
      </c>
      <c r="Q495" t="str">
        <f t="shared" si="39"/>
        <v/>
      </c>
      <c r="R495">
        <v>1</v>
      </c>
    </row>
    <row r="496" spans="1:18">
      <c r="A496">
        <f>'PSP Data'!A499</f>
        <v>0</v>
      </c>
      <c r="B496" t="str">
        <f>IF('PSP Data'!B499=0,"",'PSP Data'!B499)</f>
        <v/>
      </c>
      <c r="C496">
        <f>'PSP Data'!C499</f>
        <v>0</v>
      </c>
      <c r="D496">
        <f>'PSP Data'!D499</f>
        <v>0</v>
      </c>
      <c r="E496">
        <f>'PSP Data'!E499</f>
        <v>0</v>
      </c>
      <c r="F496">
        <f>'PSP Data'!F499</f>
        <v>0</v>
      </c>
      <c r="G496">
        <f>'PSP Data'!G499</f>
        <v>0</v>
      </c>
      <c r="H496">
        <f>'PSP Data'!H499</f>
        <v>0</v>
      </c>
      <c r="I496">
        <f>'PSP Data'!I499</f>
        <v>0</v>
      </c>
      <c r="J496" s="29" t="e">
        <f t="shared" si="35"/>
        <v>#N/A</v>
      </c>
      <c r="K496" s="29" t="e">
        <f>IF(AND((A496&lt;'PSP Data'!$C$11),(A496&lt;&gt;0)),Analysis!C496,#N/A)</f>
        <v>#N/A</v>
      </c>
      <c r="L496" t="e">
        <f>IF(VLOOKUP(B496,Table1[],4)=0,"unknown", VLOOKUP(B496,Table1[],4))</f>
        <v>#N/A</v>
      </c>
      <c r="M496">
        <v>1</v>
      </c>
      <c r="N496" t="e">
        <f t="shared" si="36"/>
        <v>#N/A</v>
      </c>
      <c r="O496" t="str">
        <f t="shared" si="37"/>
        <v/>
      </c>
      <c r="P496" t="str">
        <f t="shared" si="38"/>
        <v/>
      </c>
      <c r="Q496" t="str">
        <f t="shared" si="39"/>
        <v/>
      </c>
      <c r="R496">
        <v>1</v>
      </c>
    </row>
    <row r="497" spans="1:18">
      <c r="A497">
        <f>'PSP Data'!A500</f>
        <v>0</v>
      </c>
      <c r="B497" t="str">
        <f>IF('PSP Data'!B500=0,"",'PSP Data'!B500)</f>
        <v/>
      </c>
      <c r="C497">
        <f>'PSP Data'!C500</f>
        <v>0</v>
      </c>
      <c r="D497">
        <f>'PSP Data'!D500</f>
        <v>0</v>
      </c>
      <c r="E497">
        <f>'PSP Data'!E500</f>
        <v>0</v>
      </c>
      <c r="F497">
        <f>'PSP Data'!F500</f>
        <v>0</v>
      </c>
      <c r="G497">
        <f>'PSP Data'!G500</f>
        <v>0</v>
      </c>
      <c r="H497">
        <f>'PSP Data'!H500</f>
        <v>0</v>
      </c>
      <c r="I497">
        <f>'PSP Data'!I500</f>
        <v>0</v>
      </c>
      <c r="J497" s="29" t="e">
        <f t="shared" si="35"/>
        <v>#N/A</v>
      </c>
      <c r="K497" s="29" t="e">
        <f>IF(AND((A497&lt;'PSP Data'!$C$11),(A497&lt;&gt;0)),Analysis!C497,#N/A)</f>
        <v>#N/A</v>
      </c>
      <c r="L497" t="e">
        <f>IF(VLOOKUP(B497,Table1[],4)=0,"unknown", VLOOKUP(B497,Table1[],4))</f>
        <v>#N/A</v>
      </c>
      <c r="M497">
        <v>1</v>
      </c>
      <c r="N497" t="e">
        <f t="shared" si="36"/>
        <v>#N/A</v>
      </c>
      <c r="O497" t="str">
        <f t="shared" si="37"/>
        <v/>
      </c>
      <c r="P497" t="str">
        <f t="shared" si="38"/>
        <v/>
      </c>
      <c r="Q497" t="str">
        <f t="shared" si="39"/>
        <v/>
      </c>
      <c r="R497">
        <v>1</v>
      </c>
    </row>
    <row r="498" spans="1:18">
      <c r="A498">
        <f>'PSP Data'!A501</f>
        <v>0</v>
      </c>
      <c r="B498" t="str">
        <f>IF('PSP Data'!B501=0,"",'PSP Data'!B501)</f>
        <v/>
      </c>
      <c r="C498">
        <f>'PSP Data'!C501</f>
        <v>0</v>
      </c>
      <c r="D498">
        <f>'PSP Data'!D501</f>
        <v>0</v>
      </c>
      <c r="E498">
        <f>'PSP Data'!E501</f>
        <v>0</v>
      </c>
      <c r="F498">
        <f>'PSP Data'!F501</f>
        <v>0</v>
      </c>
      <c r="G498">
        <f>'PSP Data'!G501</f>
        <v>0</v>
      </c>
      <c r="H498">
        <f>'PSP Data'!H501</f>
        <v>0</v>
      </c>
      <c r="I498">
        <f>'PSP Data'!I501</f>
        <v>0</v>
      </c>
      <c r="J498" s="29" t="e">
        <f t="shared" si="35"/>
        <v>#N/A</v>
      </c>
      <c r="K498" s="29" t="e">
        <f>IF(AND((A498&lt;'PSP Data'!$C$11),(A498&lt;&gt;0)),Analysis!C498,#N/A)</f>
        <v>#N/A</v>
      </c>
      <c r="L498" t="e">
        <f>IF(VLOOKUP(B498,Table1[],4)=0,"unknown", VLOOKUP(B498,Table1[],4))</f>
        <v>#N/A</v>
      </c>
      <c r="M498">
        <v>1</v>
      </c>
      <c r="N498" t="e">
        <f t="shared" si="36"/>
        <v>#N/A</v>
      </c>
      <c r="O498" t="str">
        <f t="shared" si="37"/>
        <v/>
      </c>
      <c r="P498" t="str">
        <f t="shared" si="38"/>
        <v/>
      </c>
      <c r="Q498" t="str">
        <f t="shared" si="39"/>
        <v/>
      </c>
      <c r="R498">
        <v>1</v>
      </c>
    </row>
    <row r="499" spans="1:18">
      <c r="A499">
        <f>'PSP Data'!A502</f>
        <v>0</v>
      </c>
      <c r="B499" t="str">
        <f>IF('PSP Data'!B502=0,"",'PSP Data'!B502)</f>
        <v/>
      </c>
      <c r="C499">
        <f>'PSP Data'!C502</f>
        <v>0</v>
      </c>
      <c r="D499">
        <f>'PSP Data'!D502</f>
        <v>0</v>
      </c>
      <c r="E499">
        <f>'PSP Data'!E502</f>
        <v>0</v>
      </c>
      <c r="F499">
        <f>'PSP Data'!F502</f>
        <v>0</v>
      </c>
      <c r="G499">
        <f>'PSP Data'!G502</f>
        <v>0</v>
      </c>
      <c r="H499">
        <f>'PSP Data'!H502</f>
        <v>0</v>
      </c>
      <c r="I499">
        <f>'PSP Data'!I502</f>
        <v>0</v>
      </c>
      <c r="J499" s="29" t="e">
        <f t="shared" si="35"/>
        <v>#N/A</v>
      </c>
      <c r="K499" s="29" t="e">
        <f>IF(AND((A499&lt;'PSP Data'!$C$11),(A499&lt;&gt;0)),Analysis!C499,#N/A)</f>
        <v>#N/A</v>
      </c>
      <c r="L499" t="e">
        <f>IF(VLOOKUP(B499,Table1[],4)=0,"unknown", VLOOKUP(B499,Table1[],4))</f>
        <v>#N/A</v>
      </c>
      <c r="M499">
        <v>1</v>
      </c>
      <c r="N499" t="e">
        <f t="shared" si="36"/>
        <v>#N/A</v>
      </c>
      <c r="O499" t="str">
        <f t="shared" si="37"/>
        <v/>
      </c>
      <c r="P499" t="str">
        <f t="shared" si="38"/>
        <v/>
      </c>
      <c r="Q499" t="str">
        <f t="shared" si="39"/>
        <v/>
      </c>
      <c r="R499">
        <v>1</v>
      </c>
    </row>
    <row r="500" spans="1:18">
      <c r="A500">
        <f>'PSP Data'!A503</f>
        <v>0</v>
      </c>
      <c r="B500" t="str">
        <f>IF('PSP Data'!B503=0,"",'PSP Data'!B503)</f>
        <v/>
      </c>
      <c r="C500">
        <f>'PSP Data'!C503</f>
        <v>0</v>
      </c>
      <c r="D500">
        <f>'PSP Data'!D503</f>
        <v>0</v>
      </c>
      <c r="E500">
        <f>'PSP Data'!E503</f>
        <v>0</v>
      </c>
      <c r="F500">
        <f>'PSP Data'!F503</f>
        <v>0</v>
      </c>
      <c r="G500">
        <f>'PSP Data'!G503</f>
        <v>0</v>
      </c>
      <c r="H500">
        <f>'PSP Data'!H503</f>
        <v>0</v>
      </c>
      <c r="I500">
        <f>'PSP Data'!I503</f>
        <v>0</v>
      </c>
      <c r="J500" s="29" t="e">
        <f t="shared" si="35"/>
        <v>#N/A</v>
      </c>
      <c r="K500" s="29" t="e">
        <f>IF(AND((A500&lt;'PSP Data'!$C$11),(A500&lt;&gt;0)),Analysis!C500,#N/A)</f>
        <v>#N/A</v>
      </c>
      <c r="L500" t="e">
        <f>IF(VLOOKUP(B500,Table1[],4)=0,"unknown", VLOOKUP(B500,Table1[],4))</f>
        <v>#N/A</v>
      </c>
      <c r="M500">
        <v>1</v>
      </c>
      <c r="N500" t="e">
        <f t="shared" si="36"/>
        <v>#N/A</v>
      </c>
      <c r="O500" t="str">
        <f t="shared" si="37"/>
        <v/>
      </c>
      <c r="P500" t="str">
        <f t="shared" si="38"/>
        <v/>
      </c>
      <c r="Q500" t="str">
        <f t="shared" si="39"/>
        <v/>
      </c>
      <c r="R500">
        <v>1</v>
      </c>
    </row>
    <row r="501" spans="1:18">
      <c r="A501">
        <f>'PSP Data'!A504</f>
        <v>0</v>
      </c>
      <c r="B501" t="str">
        <f>IF('PSP Data'!B504=0,"",'PSP Data'!B504)</f>
        <v/>
      </c>
      <c r="C501">
        <f>'PSP Data'!C504</f>
        <v>0</v>
      </c>
      <c r="D501">
        <f>'PSP Data'!D504</f>
        <v>0</v>
      </c>
      <c r="E501">
        <f>'PSP Data'!E504</f>
        <v>0</v>
      </c>
      <c r="F501">
        <f>'PSP Data'!F504</f>
        <v>0</v>
      </c>
      <c r="G501">
        <f>'PSP Data'!G504</f>
        <v>0</v>
      </c>
      <c r="H501">
        <f>'PSP Data'!H504</f>
        <v>0</v>
      </c>
      <c r="I501">
        <f>'PSP Data'!I504</f>
        <v>0</v>
      </c>
      <c r="J501" s="29" t="e">
        <f t="shared" si="35"/>
        <v>#N/A</v>
      </c>
      <c r="K501" s="29" t="e">
        <f>IF(AND((A501&lt;'PSP Data'!$C$11),(A501&lt;&gt;0)),Analysis!C501,#N/A)</f>
        <v>#N/A</v>
      </c>
      <c r="L501" t="e">
        <f>IF(VLOOKUP(B501,Table1[],4)=0,"unknown", VLOOKUP(B501,Table1[],4))</f>
        <v>#N/A</v>
      </c>
      <c r="M501">
        <v>1</v>
      </c>
      <c r="N501" t="e">
        <f t="shared" si="36"/>
        <v>#N/A</v>
      </c>
      <c r="O501" t="str">
        <f t="shared" si="37"/>
        <v/>
      </c>
      <c r="P501" t="str">
        <f t="shared" si="38"/>
        <v/>
      </c>
      <c r="Q501" t="str">
        <f t="shared" si="39"/>
        <v/>
      </c>
      <c r="R501">
        <v>1</v>
      </c>
    </row>
    <row r="502" spans="1:18">
      <c r="A502">
        <f>'PSP Data'!A505</f>
        <v>0</v>
      </c>
      <c r="B502" t="str">
        <f>IF('PSP Data'!B505=0,"",'PSP Data'!B505)</f>
        <v/>
      </c>
      <c r="C502">
        <f>'PSP Data'!C505</f>
        <v>0</v>
      </c>
      <c r="D502">
        <f>'PSP Data'!D505</f>
        <v>0</v>
      </c>
      <c r="E502">
        <f>'PSP Data'!E505</f>
        <v>0</v>
      </c>
      <c r="F502">
        <f>'PSP Data'!F505</f>
        <v>0</v>
      </c>
      <c r="G502">
        <f>'PSP Data'!G505</f>
        <v>0</v>
      </c>
      <c r="H502">
        <f>'PSP Data'!H505</f>
        <v>0</v>
      </c>
      <c r="I502">
        <f>'PSP Data'!I505</f>
        <v>0</v>
      </c>
      <c r="J502" s="29" t="e">
        <f t="shared" si="35"/>
        <v>#N/A</v>
      </c>
      <c r="K502" s="29" t="e">
        <f>IF(AND((A502&lt;'PSP Data'!$C$11),(A502&lt;&gt;0)),Analysis!C502,#N/A)</f>
        <v>#N/A</v>
      </c>
      <c r="L502" t="e">
        <f>IF(VLOOKUP(B502,Table1[],4)=0,"unknown", VLOOKUP(B502,Table1[],4))</f>
        <v>#N/A</v>
      </c>
      <c r="M502">
        <v>1</v>
      </c>
      <c r="N502" t="e">
        <f t="shared" si="36"/>
        <v>#N/A</v>
      </c>
      <c r="O502" t="str">
        <f t="shared" si="37"/>
        <v/>
      </c>
      <c r="P502" t="str">
        <f t="shared" si="38"/>
        <v/>
      </c>
      <c r="Q502" t="str">
        <f t="shared" si="39"/>
        <v/>
      </c>
      <c r="R502">
        <v>1</v>
      </c>
    </row>
    <row r="503" spans="1:18">
      <c r="A503">
        <f>'PSP Data'!A506</f>
        <v>0</v>
      </c>
      <c r="B503" t="str">
        <f>IF('PSP Data'!B506=0,"",'PSP Data'!B506)</f>
        <v/>
      </c>
      <c r="C503">
        <f>'PSP Data'!C506</f>
        <v>0</v>
      </c>
      <c r="D503">
        <f>'PSP Data'!D506</f>
        <v>0</v>
      </c>
      <c r="E503">
        <f>'PSP Data'!E506</f>
        <v>0</v>
      </c>
      <c r="F503">
        <f>'PSP Data'!F506</f>
        <v>0</v>
      </c>
      <c r="G503">
        <f>'PSP Data'!G506</f>
        <v>0</v>
      </c>
      <c r="H503">
        <f>'PSP Data'!H506</f>
        <v>0</v>
      </c>
      <c r="I503">
        <f>'PSP Data'!I506</f>
        <v>0</v>
      </c>
      <c r="J503" s="29" t="e">
        <f t="shared" si="35"/>
        <v>#N/A</v>
      </c>
      <c r="K503" s="29" t="e">
        <f>IF(AND((A503&lt;'PSP Data'!$C$11),(A503&lt;&gt;0)),Analysis!C503,#N/A)</f>
        <v>#N/A</v>
      </c>
      <c r="L503" t="e">
        <f>IF(VLOOKUP(B503,Table1[],4)=0,"unknown", VLOOKUP(B503,Table1[],4))</f>
        <v>#N/A</v>
      </c>
      <c r="M503">
        <v>1</v>
      </c>
      <c r="N503" t="e">
        <f t="shared" si="36"/>
        <v>#N/A</v>
      </c>
      <c r="O503" t="str">
        <f t="shared" si="37"/>
        <v/>
      </c>
      <c r="P503" t="str">
        <f t="shared" si="38"/>
        <v/>
      </c>
      <c r="Q503" t="str">
        <f t="shared" si="39"/>
        <v/>
      </c>
      <c r="R503">
        <v>1</v>
      </c>
    </row>
    <row r="504" spans="1:18">
      <c r="A504">
        <f>'PSP Data'!A507</f>
        <v>0</v>
      </c>
      <c r="B504" t="str">
        <f>IF('PSP Data'!B507=0,"",'PSP Data'!B507)</f>
        <v/>
      </c>
      <c r="C504">
        <f>'PSP Data'!C507</f>
        <v>0</v>
      </c>
      <c r="D504">
        <f>'PSP Data'!D507</f>
        <v>0</v>
      </c>
      <c r="E504">
        <f>'PSP Data'!E507</f>
        <v>0</v>
      </c>
      <c r="F504">
        <f>'PSP Data'!F507</f>
        <v>0</v>
      </c>
      <c r="G504">
        <f>'PSP Data'!G507</f>
        <v>0</v>
      </c>
      <c r="H504">
        <f>'PSP Data'!H507</f>
        <v>0</v>
      </c>
      <c r="I504">
        <f>'PSP Data'!I507</f>
        <v>0</v>
      </c>
      <c r="J504" s="29" t="e">
        <f t="shared" si="35"/>
        <v>#N/A</v>
      </c>
      <c r="K504" s="29" t="e">
        <f>IF(AND((A504&lt;'PSP Data'!$C$11),(A504&lt;&gt;0)),Analysis!C504,#N/A)</f>
        <v>#N/A</v>
      </c>
      <c r="L504" t="e">
        <f>IF(VLOOKUP(B504,Table1[],4)=0,"unknown", VLOOKUP(B504,Table1[],4))</f>
        <v>#N/A</v>
      </c>
      <c r="M504">
        <v>1</v>
      </c>
      <c r="N504" t="e">
        <f t="shared" si="36"/>
        <v>#N/A</v>
      </c>
      <c r="O504" t="str">
        <f t="shared" si="37"/>
        <v/>
      </c>
      <c r="P504" t="str">
        <f t="shared" si="38"/>
        <v/>
      </c>
      <c r="Q504" t="str">
        <f t="shared" si="39"/>
        <v/>
      </c>
      <c r="R504">
        <v>1</v>
      </c>
    </row>
    <row r="505" spans="1:18">
      <c r="A505">
        <f>'PSP Data'!A508</f>
        <v>0</v>
      </c>
      <c r="B505" t="str">
        <f>IF('PSP Data'!B508=0,"",'PSP Data'!B508)</f>
        <v/>
      </c>
      <c r="C505">
        <f>'PSP Data'!C508</f>
        <v>0</v>
      </c>
      <c r="D505">
        <f>'PSP Data'!D508</f>
        <v>0</v>
      </c>
      <c r="E505">
        <f>'PSP Data'!E508</f>
        <v>0</v>
      </c>
      <c r="F505">
        <f>'PSP Data'!F508</f>
        <v>0</v>
      </c>
      <c r="G505">
        <f>'PSP Data'!G508</f>
        <v>0</v>
      </c>
      <c r="H505">
        <f>'PSP Data'!H508</f>
        <v>0</v>
      </c>
      <c r="I505">
        <f>'PSP Data'!I508</f>
        <v>0</v>
      </c>
      <c r="J505" s="29" t="e">
        <f t="shared" si="35"/>
        <v>#N/A</v>
      </c>
      <c r="K505" s="29" t="e">
        <f>IF(AND((A505&lt;'PSP Data'!$C$11),(A505&lt;&gt;0)),Analysis!C505,#N/A)</f>
        <v>#N/A</v>
      </c>
      <c r="L505" t="e">
        <f>IF(VLOOKUP(B505,Table1[],4)=0,"unknown", VLOOKUP(B505,Table1[],4))</f>
        <v>#N/A</v>
      </c>
      <c r="M505">
        <v>1</v>
      </c>
      <c r="N505" t="e">
        <f t="shared" si="36"/>
        <v>#N/A</v>
      </c>
      <c r="O505" t="str">
        <f t="shared" si="37"/>
        <v/>
      </c>
      <c r="P505" t="str">
        <f t="shared" si="38"/>
        <v/>
      </c>
      <c r="Q505" t="str">
        <f t="shared" si="39"/>
        <v/>
      </c>
      <c r="R505">
        <v>1</v>
      </c>
    </row>
    <row r="506" spans="1:18">
      <c r="A506">
        <f>'PSP Data'!A509</f>
        <v>0</v>
      </c>
      <c r="B506" t="str">
        <f>IF('PSP Data'!B509=0,"",'PSP Data'!B509)</f>
        <v/>
      </c>
      <c r="C506">
        <f>'PSP Data'!C509</f>
        <v>0</v>
      </c>
      <c r="D506">
        <f>'PSP Data'!D509</f>
        <v>0</v>
      </c>
      <c r="E506">
        <f>'PSP Data'!E509</f>
        <v>0</v>
      </c>
      <c r="F506">
        <f>'PSP Data'!F509</f>
        <v>0</v>
      </c>
      <c r="G506">
        <f>'PSP Data'!G509</f>
        <v>0</v>
      </c>
      <c r="H506">
        <f>'PSP Data'!H509</f>
        <v>0</v>
      </c>
      <c r="I506">
        <f>'PSP Data'!I509</f>
        <v>0</v>
      </c>
      <c r="J506" s="29" t="e">
        <f t="shared" si="35"/>
        <v>#N/A</v>
      </c>
      <c r="K506" s="29" t="e">
        <f>IF(AND((A506&lt;'PSP Data'!$C$11),(A506&lt;&gt;0)),Analysis!C506,#N/A)</f>
        <v>#N/A</v>
      </c>
      <c r="L506" t="e">
        <f>IF(VLOOKUP(B506,Table1[],4)=0,"unknown", VLOOKUP(B506,Table1[],4))</f>
        <v>#N/A</v>
      </c>
      <c r="M506">
        <v>1</v>
      </c>
      <c r="N506" t="e">
        <f t="shared" si="36"/>
        <v>#N/A</v>
      </c>
      <c r="O506" t="str">
        <f t="shared" si="37"/>
        <v/>
      </c>
      <c r="P506" t="str">
        <f t="shared" si="38"/>
        <v/>
      </c>
      <c r="Q506" t="str">
        <f t="shared" si="39"/>
        <v/>
      </c>
      <c r="R506">
        <v>1</v>
      </c>
    </row>
    <row r="507" spans="1:18">
      <c r="A507">
        <f>'PSP Data'!A510</f>
        <v>0</v>
      </c>
      <c r="B507" t="str">
        <f>IF('PSP Data'!B510=0,"",'PSP Data'!B510)</f>
        <v/>
      </c>
      <c r="C507">
        <f>'PSP Data'!C510</f>
        <v>0</v>
      </c>
      <c r="D507">
        <f>'PSP Data'!D510</f>
        <v>0</v>
      </c>
      <c r="E507">
        <f>'PSP Data'!E510</f>
        <v>0</v>
      </c>
      <c r="F507">
        <f>'PSP Data'!F510</f>
        <v>0</v>
      </c>
      <c r="G507">
        <f>'PSP Data'!G510</f>
        <v>0</v>
      </c>
      <c r="H507">
        <f>'PSP Data'!H510</f>
        <v>0</v>
      </c>
      <c r="I507">
        <f>'PSP Data'!I510</f>
        <v>0</v>
      </c>
      <c r="J507" s="29" t="e">
        <f t="shared" si="35"/>
        <v>#N/A</v>
      </c>
      <c r="K507" s="29" t="e">
        <f>IF(AND((A507&lt;'PSP Data'!$C$11),(A507&lt;&gt;0)),Analysis!C507,#N/A)</f>
        <v>#N/A</v>
      </c>
      <c r="L507" t="e">
        <f>IF(VLOOKUP(B507,Table1[],4)=0,"unknown", VLOOKUP(B507,Table1[],4))</f>
        <v>#N/A</v>
      </c>
      <c r="M507">
        <v>1</v>
      </c>
      <c r="N507" t="e">
        <f t="shared" si="36"/>
        <v>#N/A</v>
      </c>
      <c r="O507" t="str">
        <f t="shared" si="37"/>
        <v/>
      </c>
      <c r="P507" t="str">
        <f t="shared" si="38"/>
        <v/>
      </c>
      <c r="Q507" t="str">
        <f t="shared" si="39"/>
        <v/>
      </c>
      <c r="R507">
        <v>1</v>
      </c>
    </row>
    <row r="508" spans="1:18">
      <c r="A508">
        <f>'PSP Data'!A511</f>
        <v>0</v>
      </c>
      <c r="B508" t="str">
        <f>IF('PSP Data'!B511=0,"",'PSP Data'!B511)</f>
        <v/>
      </c>
      <c r="C508">
        <f>'PSP Data'!C511</f>
        <v>0</v>
      </c>
      <c r="D508">
        <f>'PSP Data'!D511</f>
        <v>0</v>
      </c>
      <c r="E508">
        <f>'PSP Data'!E511</f>
        <v>0</v>
      </c>
      <c r="F508">
        <f>'PSP Data'!F511</f>
        <v>0</v>
      </c>
      <c r="G508">
        <f>'PSP Data'!G511</f>
        <v>0</v>
      </c>
      <c r="H508">
        <f>'PSP Data'!H511</f>
        <v>0</v>
      </c>
      <c r="I508">
        <f>'PSP Data'!I511</f>
        <v>0</v>
      </c>
      <c r="J508" s="29" t="e">
        <f t="shared" si="35"/>
        <v>#N/A</v>
      </c>
      <c r="K508" s="29" t="e">
        <f>IF(AND((A508&lt;'PSP Data'!$C$11),(A508&lt;&gt;0)),Analysis!C508,#N/A)</f>
        <v>#N/A</v>
      </c>
      <c r="L508" t="e">
        <f>IF(VLOOKUP(B508,Table1[],4)=0,"unknown", VLOOKUP(B508,Table1[],4))</f>
        <v>#N/A</v>
      </c>
      <c r="M508">
        <v>1</v>
      </c>
      <c r="N508" t="e">
        <f t="shared" si="36"/>
        <v>#N/A</v>
      </c>
      <c r="O508" t="str">
        <f t="shared" si="37"/>
        <v/>
      </c>
      <c r="P508" t="str">
        <f t="shared" si="38"/>
        <v/>
      </c>
      <c r="Q508" t="str">
        <f t="shared" si="39"/>
        <v/>
      </c>
      <c r="R508">
        <v>1</v>
      </c>
    </row>
    <row r="509" spans="1:18">
      <c r="A509">
        <f>'PSP Data'!A512</f>
        <v>0</v>
      </c>
      <c r="B509" t="str">
        <f>IF('PSP Data'!B512=0,"",'PSP Data'!B512)</f>
        <v/>
      </c>
      <c r="C509">
        <f>'PSP Data'!C512</f>
        <v>0</v>
      </c>
      <c r="D509">
        <f>'PSP Data'!D512</f>
        <v>0</v>
      </c>
      <c r="E509">
        <f>'PSP Data'!E512</f>
        <v>0</v>
      </c>
      <c r="F509">
        <f>'PSP Data'!F512</f>
        <v>0</v>
      </c>
      <c r="G509">
        <f>'PSP Data'!G512</f>
        <v>0</v>
      </c>
      <c r="H509">
        <f>'PSP Data'!H512</f>
        <v>0</v>
      </c>
      <c r="I509">
        <f>'PSP Data'!I512</f>
        <v>0</v>
      </c>
      <c r="J509" s="29" t="e">
        <f t="shared" si="35"/>
        <v>#N/A</v>
      </c>
      <c r="K509" s="29" t="e">
        <f>IF(AND((A509&lt;'PSP Data'!$C$11),(A509&lt;&gt;0)),Analysis!C509,#N/A)</f>
        <v>#N/A</v>
      </c>
      <c r="L509" t="e">
        <f>IF(VLOOKUP(B509,Table1[],4)=0,"unknown", VLOOKUP(B509,Table1[],4))</f>
        <v>#N/A</v>
      </c>
      <c r="M509">
        <v>1</v>
      </c>
      <c r="N509" t="e">
        <f t="shared" si="36"/>
        <v>#N/A</v>
      </c>
      <c r="O509" t="str">
        <f t="shared" si="37"/>
        <v/>
      </c>
      <c r="P509" t="str">
        <f t="shared" si="38"/>
        <v/>
      </c>
      <c r="Q509" t="str">
        <f t="shared" si="39"/>
        <v/>
      </c>
      <c r="R509">
        <v>1</v>
      </c>
    </row>
    <row r="510" spans="1:18">
      <c r="A510">
        <f>'PSP Data'!A513</f>
        <v>0</v>
      </c>
      <c r="B510" t="str">
        <f>IF('PSP Data'!B513=0,"",'PSP Data'!B513)</f>
        <v/>
      </c>
      <c r="C510">
        <f>'PSP Data'!C513</f>
        <v>0</v>
      </c>
      <c r="D510">
        <f>'PSP Data'!D513</f>
        <v>0</v>
      </c>
      <c r="E510">
        <f>'PSP Data'!E513</f>
        <v>0</v>
      </c>
      <c r="F510">
        <f>'PSP Data'!F513</f>
        <v>0</v>
      </c>
      <c r="G510">
        <f>'PSP Data'!G513</f>
        <v>0</v>
      </c>
      <c r="H510">
        <f>'PSP Data'!H513</f>
        <v>0</v>
      </c>
      <c r="I510">
        <f>'PSP Data'!I513</f>
        <v>0</v>
      </c>
      <c r="J510" s="29" t="e">
        <f t="shared" si="35"/>
        <v>#N/A</v>
      </c>
      <c r="K510" s="29" t="e">
        <f>IF(AND((A510&lt;'PSP Data'!$C$11),(A510&lt;&gt;0)),Analysis!C510,#N/A)</f>
        <v>#N/A</v>
      </c>
      <c r="L510" t="e">
        <f>IF(VLOOKUP(B510,Table1[],4)=0,"unknown", VLOOKUP(B510,Table1[],4))</f>
        <v>#N/A</v>
      </c>
      <c r="M510">
        <v>1</v>
      </c>
      <c r="N510" t="e">
        <f t="shared" si="36"/>
        <v>#N/A</v>
      </c>
      <c r="O510" t="str">
        <f t="shared" si="37"/>
        <v/>
      </c>
      <c r="P510" t="str">
        <f t="shared" si="38"/>
        <v/>
      </c>
      <c r="Q510" t="str">
        <f t="shared" si="39"/>
        <v/>
      </c>
      <c r="R510">
        <v>1</v>
      </c>
    </row>
    <row r="511" spans="1:18">
      <c r="A511">
        <f>'PSP Data'!A514</f>
        <v>0</v>
      </c>
      <c r="B511" t="str">
        <f>IF('PSP Data'!B514=0,"",'PSP Data'!B514)</f>
        <v/>
      </c>
      <c r="C511">
        <f>'PSP Data'!C514</f>
        <v>0</v>
      </c>
      <c r="D511">
        <f>'PSP Data'!D514</f>
        <v>0</v>
      </c>
      <c r="E511">
        <f>'PSP Data'!E514</f>
        <v>0</v>
      </c>
      <c r="F511">
        <f>'PSP Data'!F514</f>
        <v>0</v>
      </c>
      <c r="G511">
        <f>'PSP Data'!G514</f>
        <v>0</v>
      </c>
      <c r="H511">
        <f>'PSP Data'!H514</f>
        <v>0</v>
      </c>
      <c r="I511">
        <f>'PSP Data'!I514</f>
        <v>0</v>
      </c>
      <c r="J511" s="29" t="e">
        <f t="shared" si="35"/>
        <v>#N/A</v>
      </c>
      <c r="K511" s="29" t="e">
        <f>IF(AND((A511&lt;'PSP Data'!$C$11),(A511&lt;&gt;0)),Analysis!C511,#N/A)</f>
        <v>#N/A</v>
      </c>
      <c r="L511" t="e">
        <f>IF(VLOOKUP(B511,Table1[],4)=0,"unknown", VLOOKUP(B511,Table1[],4))</f>
        <v>#N/A</v>
      </c>
      <c r="M511">
        <v>1</v>
      </c>
      <c r="N511" t="e">
        <f t="shared" si="36"/>
        <v>#N/A</v>
      </c>
      <c r="O511" t="str">
        <f t="shared" si="37"/>
        <v/>
      </c>
      <c r="P511" t="str">
        <f t="shared" si="38"/>
        <v/>
      </c>
      <c r="Q511" t="str">
        <f t="shared" si="39"/>
        <v/>
      </c>
      <c r="R511">
        <v>1</v>
      </c>
    </row>
    <row r="512" spans="1:18">
      <c r="A512">
        <f>'PSP Data'!A515</f>
        <v>0</v>
      </c>
      <c r="B512" t="str">
        <f>IF('PSP Data'!B515=0,"",'PSP Data'!B515)</f>
        <v/>
      </c>
      <c r="C512">
        <f>'PSP Data'!C515</f>
        <v>0</v>
      </c>
      <c r="D512">
        <f>'PSP Data'!D515</f>
        <v>0</v>
      </c>
      <c r="E512">
        <f>'PSP Data'!E515</f>
        <v>0</v>
      </c>
      <c r="F512">
        <f>'PSP Data'!F515</f>
        <v>0</v>
      </c>
      <c r="G512">
        <f>'PSP Data'!G515</f>
        <v>0</v>
      </c>
      <c r="H512">
        <f>'PSP Data'!H515</f>
        <v>0</v>
      </c>
      <c r="I512">
        <f>'PSP Data'!I515</f>
        <v>0</v>
      </c>
      <c r="J512" s="29" t="e">
        <f t="shared" si="35"/>
        <v>#N/A</v>
      </c>
      <c r="K512" s="29" t="e">
        <f>IF(AND((A512&lt;'PSP Data'!$C$11),(A512&lt;&gt;0)),Analysis!C512,#N/A)</f>
        <v>#N/A</v>
      </c>
      <c r="L512" t="e">
        <f>IF(VLOOKUP(B512,Table1[],4)=0,"unknown", VLOOKUP(B512,Table1[],4))</f>
        <v>#N/A</v>
      </c>
      <c r="M512">
        <v>1</v>
      </c>
      <c r="N512" t="e">
        <f t="shared" si="36"/>
        <v>#N/A</v>
      </c>
      <c r="O512" t="str">
        <f t="shared" si="37"/>
        <v/>
      </c>
      <c r="P512" t="str">
        <f t="shared" si="38"/>
        <v/>
      </c>
      <c r="Q512" t="str">
        <f t="shared" si="39"/>
        <v/>
      </c>
      <c r="R512">
        <v>1</v>
      </c>
    </row>
    <row r="513" spans="1:18">
      <c r="A513">
        <f>'PSP Data'!A516</f>
        <v>0</v>
      </c>
      <c r="B513" t="str">
        <f>IF('PSP Data'!B516=0,"",'PSP Data'!B516)</f>
        <v/>
      </c>
      <c r="C513">
        <f>'PSP Data'!C516</f>
        <v>0</v>
      </c>
      <c r="D513">
        <f>'PSP Data'!D516</f>
        <v>0</v>
      </c>
      <c r="E513">
        <f>'PSP Data'!E516</f>
        <v>0</v>
      </c>
      <c r="F513">
        <f>'PSP Data'!F516</f>
        <v>0</v>
      </c>
      <c r="G513">
        <f>'PSP Data'!G516</f>
        <v>0</v>
      </c>
      <c r="H513">
        <f>'PSP Data'!H516</f>
        <v>0</v>
      </c>
      <c r="I513">
        <f>'PSP Data'!I516</f>
        <v>0</v>
      </c>
      <c r="J513" s="29" t="e">
        <f t="shared" si="35"/>
        <v>#N/A</v>
      </c>
      <c r="K513" s="29" t="e">
        <f>IF(AND((A513&lt;'PSP Data'!$C$11),(A513&lt;&gt;0)),Analysis!C513,#N/A)</f>
        <v>#N/A</v>
      </c>
      <c r="L513" t="e">
        <f>IF(VLOOKUP(B513,Table1[],4)=0,"unknown", VLOOKUP(B513,Table1[],4))</f>
        <v>#N/A</v>
      </c>
      <c r="M513">
        <v>1</v>
      </c>
      <c r="N513" t="e">
        <f t="shared" si="36"/>
        <v>#N/A</v>
      </c>
      <c r="O513" t="str">
        <f t="shared" si="37"/>
        <v/>
      </c>
      <c r="P513" t="str">
        <f t="shared" si="38"/>
        <v/>
      </c>
      <c r="Q513" t="str">
        <f t="shared" si="39"/>
        <v/>
      </c>
      <c r="R513">
        <v>1</v>
      </c>
    </row>
    <row r="514" spans="1:18">
      <c r="A514">
        <f>'PSP Data'!A517</f>
        <v>0</v>
      </c>
      <c r="B514" t="str">
        <f>IF('PSP Data'!B517=0,"",'PSP Data'!B517)</f>
        <v/>
      </c>
      <c r="C514">
        <f>'PSP Data'!C517</f>
        <v>0</v>
      </c>
      <c r="D514">
        <f>'PSP Data'!D517</f>
        <v>0</v>
      </c>
      <c r="E514">
        <f>'PSP Data'!E517</f>
        <v>0</v>
      </c>
      <c r="F514">
        <f>'PSP Data'!F517</f>
        <v>0</v>
      </c>
      <c r="G514">
        <f>'PSP Data'!G517</f>
        <v>0</v>
      </c>
      <c r="H514">
        <f>'PSP Data'!H517</f>
        <v>0</v>
      </c>
      <c r="I514">
        <f>'PSP Data'!I517</f>
        <v>0</v>
      </c>
      <c r="J514" s="29" t="e">
        <f t="shared" si="35"/>
        <v>#N/A</v>
      </c>
      <c r="K514" s="29" t="e">
        <f>IF(AND((A514&lt;'PSP Data'!$C$11),(A514&lt;&gt;0)),Analysis!C514,#N/A)</f>
        <v>#N/A</v>
      </c>
      <c r="L514" t="e">
        <f>IF(VLOOKUP(B514,Table1[],4)=0,"unknown", VLOOKUP(B514,Table1[],4))</f>
        <v>#N/A</v>
      </c>
      <c r="M514">
        <v>1</v>
      </c>
      <c r="N514" t="e">
        <f t="shared" si="36"/>
        <v>#N/A</v>
      </c>
      <c r="O514" t="str">
        <f t="shared" si="37"/>
        <v/>
      </c>
      <c r="P514" t="str">
        <f t="shared" si="38"/>
        <v/>
      </c>
      <c r="Q514" t="str">
        <f t="shared" si="39"/>
        <v/>
      </c>
      <c r="R514">
        <v>1</v>
      </c>
    </row>
    <row r="515" spans="1:18">
      <c r="A515">
        <f>'PSP Data'!A518</f>
        <v>0</v>
      </c>
      <c r="B515" t="str">
        <f>IF('PSP Data'!B518=0,"",'PSP Data'!B518)</f>
        <v/>
      </c>
      <c r="C515">
        <f>'PSP Data'!C518</f>
        <v>0</v>
      </c>
      <c r="D515">
        <f>'PSP Data'!D518</f>
        <v>0</v>
      </c>
      <c r="E515">
        <f>'PSP Data'!E518</f>
        <v>0</v>
      </c>
      <c r="F515">
        <f>'PSP Data'!F518</f>
        <v>0</v>
      </c>
      <c r="G515">
        <f>'PSP Data'!G518</f>
        <v>0</v>
      </c>
      <c r="H515">
        <f>'PSP Data'!H518</f>
        <v>0</v>
      </c>
      <c r="I515">
        <f>'PSP Data'!I518</f>
        <v>0</v>
      </c>
      <c r="J515" s="29" t="e">
        <f t="shared" si="35"/>
        <v>#N/A</v>
      </c>
      <c r="K515" s="29" t="e">
        <f>IF(AND((A515&lt;'PSP Data'!$C$11),(A515&lt;&gt;0)),Analysis!C515,#N/A)</f>
        <v>#N/A</v>
      </c>
      <c r="L515" t="e">
        <f>IF(VLOOKUP(B515,Table1[],4)=0,"unknown", VLOOKUP(B515,Table1[],4))</f>
        <v>#N/A</v>
      </c>
      <c r="M515">
        <v>1</v>
      </c>
      <c r="N515" t="e">
        <f t="shared" si="36"/>
        <v>#N/A</v>
      </c>
      <c r="O515" t="str">
        <f t="shared" si="37"/>
        <v/>
      </c>
      <c r="P515" t="str">
        <f t="shared" si="38"/>
        <v/>
      </c>
      <c r="Q515" t="str">
        <f t="shared" si="39"/>
        <v/>
      </c>
      <c r="R515">
        <v>1</v>
      </c>
    </row>
    <row r="516" spans="1:18">
      <c r="A516">
        <f>'PSP Data'!A519</f>
        <v>0</v>
      </c>
      <c r="B516" t="str">
        <f>IF('PSP Data'!B519=0,"",'PSP Data'!B519)</f>
        <v/>
      </c>
      <c r="C516">
        <f>'PSP Data'!C519</f>
        <v>0</v>
      </c>
      <c r="D516">
        <f>'PSP Data'!D519</f>
        <v>0</v>
      </c>
      <c r="E516">
        <f>'PSP Data'!E519</f>
        <v>0</v>
      </c>
      <c r="F516">
        <f>'PSP Data'!F519</f>
        <v>0</v>
      </c>
      <c r="G516">
        <f>'PSP Data'!G519</f>
        <v>0</v>
      </c>
      <c r="H516">
        <f>'PSP Data'!H519</f>
        <v>0</v>
      </c>
      <c r="I516">
        <f>'PSP Data'!I519</f>
        <v>0</v>
      </c>
      <c r="J516" s="29" t="e">
        <f t="shared" si="35"/>
        <v>#N/A</v>
      </c>
      <c r="K516" s="29" t="e">
        <f>IF(AND((A516&lt;'PSP Data'!$C$11),(A516&lt;&gt;0)),Analysis!C516,#N/A)</f>
        <v>#N/A</v>
      </c>
      <c r="L516" t="e">
        <f>IF(VLOOKUP(B516,Table1[],4)=0,"unknown", VLOOKUP(B516,Table1[],4))</f>
        <v>#N/A</v>
      </c>
      <c r="M516">
        <v>1</v>
      </c>
      <c r="N516" t="e">
        <f t="shared" si="36"/>
        <v>#N/A</v>
      </c>
      <c r="O516" t="str">
        <f t="shared" si="37"/>
        <v/>
      </c>
      <c r="P516" t="str">
        <f t="shared" si="38"/>
        <v/>
      </c>
      <c r="Q516" t="str">
        <f t="shared" si="39"/>
        <v/>
      </c>
      <c r="R516">
        <v>1</v>
      </c>
    </row>
    <row r="517" spans="1:18">
      <c r="A517">
        <f>'PSP Data'!A520</f>
        <v>0</v>
      </c>
      <c r="B517" t="str">
        <f>IF('PSP Data'!B520=0,"",'PSP Data'!B520)</f>
        <v/>
      </c>
      <c r="C517">
        <f>'PSP Data'!C520</f>
        <v>0</v>
      </c>
      <c r="D517">
        <f>'PSP Data'!D520</f>
        <v>0</v>
      </c>
      <c r="E517">
        <f>'PSP Data'!E520</f>
        <v>0</v>
      </c>
      <c r="F517">
        <f>'PSP Data'!F520</f>
        <v>0</v>
      </c>
      <c r="G517">
        <f>'PSP Data'!G520</f>
        <v>0</v>
      </c>
      <c r="H517">
        <f>'PSP Data'!H520</f>
        <v>0</v>
      </c>
      <c r="I517">
        <f>'PSP Data'!I520</f>
        <v>0</v>
      </c>
      <c r="J517" s="29" t="e">
        <f t="shared" si="35"/>
        <v>#N/A</v>
      </c>
      <c r="K517" s="29" t="e">
        <f>IF(AND((A517&lt;'PSP Data'!$C$11),(A517&lt;&gt;0)),Analysis!C517,#N/A)</f>
        <v>#N/A</v>
      </c>
      <c r="L517" t="e">
        <f>IF(VLOOKUP(B517,Table1[],4)=0,"unknown", VLOOKUP(B517,Table1[],4))</f>
        <v>#N/A</v>
      </c>
      <c r="M517">
        <v>1</v>
      </c>
      <c r="N517" t="e">
        <f t="shared" si="36"/>
        <v>#N/A</v>
      </c>
      <c r="O517" t="str">
        <f t="shared" si="37"/>
        <v/>
      </c>
      <c r="P517" t="str">
        <f t="shared" si="38"/>
        <v/>
      </c>
      <c r="Q517" t="str">
        <f t="shared" si="39"/>
        <v/>
      </c>
      <c r="R517">
        <v>1</v>
      </c>
    </row>
    <row r="518" spans="1:18">
      <c r="A518">
        <f>'PSP Data'!A521</f>
        <v>0</v>
      </c>
      <c r="B518" t="str">
        <f>IF('PSP Data'!B521=0,"",'PSP Data'!B521)</f>
        <v/>
      </c>
      <c r="C518">
        <f>'PSP Data'!C521</f>
        <v>0</v>
      </c>
      <c r="D518">
        <f>'PSP Data'!D521</f>
        <v>0</v>
      </c>
      <c r="E518">
        <f>'PSP Data'!E521</f>
        <v>0</v>
      </c>
      <c r="F518">
        <f>'PSP Data'!F521</f>
        <v>0</v>
      </c>
      <c r="G518">
        <f>'PSP Data'!G521</f>
        <v>0</v>
      </c>
      <c r="H518">
        <f>'PSP Data'!H521</f>
        <v>0</v>
      </c>
      <c r="I518">
        <f>'PSP Data'!I521</f>
        <v>0</v>
      </c>
      <c r="J518" s="29" t="e">
        <f t="shared" si="35"/>
        <v>#N/A</v>
      </c>
      <c r="K518" s="29" t="e">
        <f>IF(AND((A518&lt;'PSP Data'!$C$11),(A518&lt;&gt;0)),Analysis!C518,#N/A)</f>
        <v>#N/A</v>
      </c>
      <c r="L518" t="e">
        <f>IF(VLOOKUP(B518,Table1[],4)=0,"unknown", VLOOKUP(B518,Table1[],4))</f>
        <v>#N/A</v>
      </c>
      <c r="M518">
        <v>1</v>
      </c>
      <c r="N518" t="e">
        <f t="shared" si="36"/>
        <v>#N/A</v>
      </c>
      <c r="O518" t="str">
        <f t="shared" si="37"/>
        <v/>
      </c>
      <c r="P518" t="str">
        <f t="shared" si="38"/>
        <v/>
      </c>
      <c r="Q518" t="str">
        <f t="shared" si="39"/>
        <v/>
      </c>
      <c r="R518">
        <v>1</v>
      </c>
    </row>
    <row r="519" spans="1:18">
      <c r="A519">
        <f>'PSP Data'!A522</f>
        <v>0</v>
      </c>
      <c r="B519" t="str">
        <f>IF('PSP Data'!B522=0,"",'PSP Data'!B522)</f>
        <v/>
      </c>
      <c r="C519">
        <f>'PSP Data'!C522</f>
        <v>0</v>
      </c>
      <c r="D519">
        <f>'PSP Data'!D522</f>
        <v>0</v>
      </c>
      <c r="E519">
        <f>'PSP Data'!E522</f>
        <v>0</v>
      </c>
      <c r="F519">
        <f>'PSP Data'!F522</f>
        <v>0</v>
      </c>
      <c r="G519">
        <f>'PSP Data'!G522</f>
        <v>0</v>
      </c>
      <c r="H519">
        <f>'PSP Data'!H522</f>
        <v>0</v>
      </c>
      <c r="I519">
        <f>'PSP Data'!I522</f>
        <v>0</v>
      </c>
      <c r="J519" s="29" t="e">
        <f t="shared" si="35"/>
        <v>#N/A</v>
      </c>
      <c r="K519" s="29" t="e">
        <f>IF(AND((A519&lt;'PSP Data'!$C$11),(A519&lt;&gt;0)),Analysis!C519,#N/A)</f>
        <v>#N/A</v>
      </c>
      <c r="L519" t="e">
        <f>IF(VLOOKUP(B519,Table1[],4)=0,"unknown", VLOOKUP(B519,Table1[],4))</f>
        <v>#N/A</v>
      </c>
      <c r="M519">
        <v>1</v>
      </c>
      <c r="N519" t="e">
        <f t="shared" si="36"/>
        <v>#N/A</v>
      </c>
      <c r="O519" t="str">
        <f t="shared" si="37"/>
        <v/>
      </c>
      <c r="P519" t="str">
        <f t="shared" si="38"/>
        <v/>
      </c>
      <c r="Q519" t="str">
        <f t="shared" si="39"/>
        <v/>
      </c>
      <c r="R519">
        <v>1</v>
      </c>
    </row>
    <row r="520" spans="1:18">
      <c r="A520">
        <f>'PSP Data'!A523</f>
        <v>0</v>
      </c>
      <c r="B520" t="str">
        <f>IF('PSP Data'!B523=0,"",'PSP Data'!B523)</f>
        <v/>
      </c>
      <c r="C520">
        <f>'PSP Data'!C523</f>
        <v>0</v>
      </c>
      <c r="D520">
        <f>'PSP Data'!D523</f>
        <v>0</v>
      </c>
      <c r="E520">
        <f>'PSP Data'!E523</f>
        <v>0</v>
      </c>
      <c r="F520">
        <f>'PSP Data'!F523</f>
        <v>0</v>
      </c>
      <c r="G520">
        <f>'PSP Data'!G523</f>
        <v>0</v>
      </c>
      <c r="H520">
        <f>'PSP Data'!H523</f>
        <v>0</v>
      </c>
      <c r="I520">
        <f>'PSP Data'!I523</f>
        <v>0</v>
      </c>
      <c r="J520" s="29" t="e">
        <f t="shared" si="35"/>
        <v>#N/A</v>
      </c>
      <c r="K520" s="29" t="e">
        <f>IF(AND((A520&lt;'PSP Data'!$C$11),(A520&lt;&gt;0)),Analysis!C520,#N/A)</f>
        <v>#N/A</v>
      </c>
      <c r="L520" t="e">
        <f>IF(VLOOKUP(B520,Table1[],4)=0,"unknown", VLOOKUP(B520,Table1[],4))</f>
        <v>#N/A</v>
      </c>
      <c r="M520">
        <v>1</v>
      </c>
      <c r="N520" t="e">
        <f t="shared" si="36"/>
        <v>#N/A</v>
      </c>
      <c r="O520" t="str">
        <f t="shared" si="37"/>
        <v/>
      </c>
      <c r="P520" t="str">
        <f t="shared" si="38"/>
        <v/>
      </c>
      <c r="Q520" t="str">
        <f t="shared" si="39"/>
        <v/>
      </c>
      <c r="R520">
        <v>1</v>
      </c>
    </row>
    <row r="521" spans="1:18">
      <c r="A521">
        <f>'PSP Data'!A524</f>
        <v>0</v>
      </c>
      <c r="B521" t="str">
        <f>IF('PSP Data'!B524=0,"",'PSP Data'!B524)</f>
        <v/>
      </c>
      <c r="C521">
        <f>'PSP Data'!C524</f>
        <v>0</v>
      </c>
      <c r="D521">
        <f>'PSP Data'!D524</f>
        <v>0</v>
      </c>
      <c r="E521">
        <f>'PSP Data'!E524</f>
        <v>0</v>
      </c>
      <c r="F521">
        <f>'PSP Data'!F524</f>
        <v>0</v>
      </c>
      <c r="G521">
        <f>'PSP Data'!G524</f>
        <v>0</v>
      </c>
      <c r="H521">
        <f>'PSP Data'!H524</f>
        <v>0</v>
      </c>
      <c r="I521">
        <f>'PSP Data'!I524</f>
        <v>0</v>
      </c>
      <c r="J521" s="29" t="e">
        <f t="shared" si="35"/>
        <v>#N/A</v>
      </c>
      <c r="K521" s="29" t="e">
        <f>IF(AND((A521&lt;'PSP Data'!$C$11),(A521&lt;&gt;0)),Analysis!C521,#N/A)</f>
        <v>#N/A</v>
      </c>
      <c r="L521" t="e">
        <f>IF(VLOOKUP(B521,Table1[],4)=0,"unknown", VLOOKUP(B521,Table1[],4))</f>
        <v>#N/A</v>
      </c>
      <c r="M521">
        <v>1</v>
      </c>
      <c r="N521" t="e">
        <f t="shared" si="36"/>
        <v>#N/A</v>
      </c>
      <c r="O521" t="str">
        <f t="shared" si="37"/>
        <v/>
      </c>
      <c r="P521" t="str">
        <f t="shared" si="38"/>
        <v/>
      </c>
      <c r="Q521" t="str">
        <f t="shared" si="39"/>
        <v/>
      </c>
      <c r="R521">
        <v>1</v>
      </c>
    </row>
    <row r="522" spans="1:18">
      <c r="A522">
        <f>'PSP Data'!A525</f>
        <v>0</v>
      </c>
      <c r="B522" t="str">
        <f>IF('PSP Data'!B525=0,"",'PSP Data'!B525)</f>
        <v/>
      </c>
      <c r="C522">
        <f>'PSP Data'!C525</f>
        <v>0</v>
      </c>
      <c r="D522">
        <f>'PSP Data'!D525</f>
        <v>0</v>
      </c>
      <c r="E522">
        <f>'PSP Data'!E525</f>
        <v>0</v>
      </c>
      <c r="F522">
        <f>'PSP Data'!F525</f>
        <v>0</v>
      </c>
      <c r="G522">
        <f>'PSP Data'!G525</f>
        <v>0</v>
      </c>
      <c r="H522">
        <f>'PSP Data'!H525</f>
        <v>0</v>
      </c>
      <c r="I522">
        <f>'PSP Data'!I525</f>
        <v>0</v>
      </c>
      <c r="J522" s="29" t="e">
        <f t="shared" si="35"/>
        <v>#N/A</v>
      </c>
      <c r="K522" s="29" t="e">
        <f>IF(AND((A522&lt;'PSP Data'!$C$11),(A522&lt;&gt;0)),Analysis!C522,#N/A)</f>
        <v>#N/A</v>
      </c>
      <c r="L522" t="e">
        <f>IF(VLOOKUP(B522,Table1[],4)=0,"unknown", VLOOKUP(B522,Table1[],4))</f>
        <v>#N/A</v>
      </c>
      <c r="M522">
        <v>1</v>
      </c>
      <c r="N522" t="e">
        <f t="shared" si="36"/>
        <v>#N/A</v>
      </c>
      <c r="O522" t="str">
        <f t="shared" si="37"/>
        <v/>
      </c>
      <c r="P522" t="str">
        <f t="shared" si="38"/>
        <v/>
      </c>
      <c r="Q522" t="str">
        <f t="shared" si="39"/>
        <v/>
      </c>
      <c r="R522">
        <v>1</v>
      </c>
    </row>
    <row r="523" spans="1:18">
      <c r="A523">
        <f>'PSP Data'!A526</f>
        <v>0</v>
      </c>
      <c r="B523" t="str">
        <f>IF('PSP Data'!B526=0,"",'PSP Data'!B526)</f>
        <v/>
      </c>
      <c r="C523">
        <f>'PSP Data'!C526</f>
        <v>0</v>
      </c>
      <c r="D523">
        <f>'PSP Data'!D526</f>
        <v>0</v>
      </c>
      <c r="E523">
        <f>'PSP Data'!E526</f>
        <v>0</v>
      </c>
      <c r="F523">
        <f>'PSP Data'!F526</f>
        <v>0</v>
      </c>
      <c r="G523">
        <f>'PSP Data'!G526</f>
        <v>0</v>
      </c>
      <c r="H523">
        <f>'PSP Data'!H526</f>
        <v>0</v>
      </c>
      <c r="I523">
        <f>'PSP Data'!I526</f>
        <v>0</v>
      </c>
      <c r="J523" s="29" t="e">
        <f t="shared" si="35"/>
        <v>#N/A</v>
      </c>
      <c r="K523" s="29" t="e">
        <f>IF(AND((A523&lt;'PSP Data'!$C$11),(A523&lt;&gt;0)),Analysis!C523,#N/A)</f>
        <v>#N/A</v>
      </c>
      <c r="L523" t="e">
        <f>IF(VLOOKUP(B523,Table1[],4)=0,"unknown", VLOOKUP(B523,Table1[],4))</f>
        <v>#N/A</v>
      </c>
      <c r="M523">
        <v>1</v>
      </c>
      <c r="N523" t="e">
        <f t="shared" si="36"/>
        <v>#N/A</v>
      </c>
      <c r="O523" t="str">
        <f t="shared" si="37"/>
        <v/>
      </c>
      <c r="P523" t="str">
        <f t="shared" si="38"/>
        <v/>
      </c>
      <c r="Q523" t="str">
        <f t="shared" si="39"/>
        <v/>
      </c>
      <c r="R523">
        <v>1</v>
      </c>
    </row>
    <row r="524" spans="1:18">
      <c r="A524">
        <f>'PSP Data'!A527</f>
        <v>0</v>
      </c>
      <c r="B524" t="str">
        <f>IF('PSP Data'!B527=0,"",'PSP Data'!B527)</f>
        <v/>
      </c>
      <c r="C524">
        <f>'PSP Data'!C527</f>
        <v>0</v>
      </c>
      <c r="D524">
        <f>'PSP Data'!D527</f>
        <v>0</v>
      </c>
      <c r="E524">
        <f>'PSP Data'!E527</f>
        <v>0</v>
      </c>
      <c r="F524">
        <f>'PSP Data'!F527</f>
        <v>0</v>
      </c>
      <c r="G524">
        <f>'PSP Data'!G527</f>
        <v>0</v>
      </c>
      <c r="H524">
        <f>'PSP Data'!H527</f>
        <v>0</v>
      </c>
      <c r="I524">
        <f>'PSP Data'!I527</f>
        <v>0</v>
      </c>
      <c r="J524" s="29" t="e">
        <f t="shared" si="35"/>
        <v>#N/A</v>
      </c>
      <c r="K524" s="29" t="e">
        <f>IF(AND((A524&lt;'PSP Data'!$C$11),(A524&lt;&gt;0)),Analysis!C524,#N/A)</f>
        <v>#N/A</v>
      </c>
      <c r="L524" t="e">
        <f>IF(VLOOKUP(B524,Table1[],4)=0,"unknown", VLOOKUP(B524,Table1[],4))</f>
        <v>#N/A</v>
      </c>
      <c r="M524">
        <v>1</v>
      </c>
      <c r="N524" t="e">
        <f t="shared" si="36"/>
        <v>#N/A</v>
      </c>
      <c r="O524" t="str">
        <f t="shared" si="37"/>
        <v/>
      </c>
      <c r="P524" t="str">
        <f t="shared" si="38"/>
        <v/>
      </c>
      <c r="Q524" t="str">
        <f t="shared" si="39"/>
        <v/>
      </c>
      <c r="R524">
        <v>1</v>
      </c>
    </row>
    <row r="525" spans="1:18">
      <c r="A525">
        <f>'PSP Data'!A528</f>
        <v>0</v>
      </c>
      <c r="B525" t="str">
        <f>IF('PSP Data'!B528=0,"",'PSP Data'!B528)</f>
        <v/>
      </c>
      <c r="C525">
        <f>'PSP Data'!C528</f>
        <v>0</v>
      </c>
      <c r="D525">
        <f>'PSP Data'!D528</f>
        <v>0</v>
      </c>
      <c r="E525">
        <f>'PSP Data'!E528</f>
        <v>0</v>
      </c>
      <c r="F525">
        <f>'PSP Data'!F528</f>
        <v>0</v>
      </c>
      <c r="G525">
        <f>'PSP Data'!G528</f>
        <v>0</v>
      </c>
      <c r="H525">
        <f>'PSP Data'!H528</f>
        <v>0</v>
      </c>
      <c r="I525">
        <f>'PSP Data'!I528</f>
        <v>0</v>
      </c>
      <c r="J525" s="29" t="e">
        <f t="shared" si="35"/>
        <v>#N/A</v>
      </c>
      <c r="K525" s="29" t="e">
        <f>IF(AND((A525&lt;'PSP Data'!$C$11),(A525&lt;&gt;0)),Analysis!C525,#N/A)</f>
        <v>#N/A</v>
      </c>
      <c r="L525" t="e">
        <f>IF(VLOOKUP(B525,Table1[],4)=0,"unknown", VLOOKUP(B525,Table1[],4))</f>
        <v>#N/A</v>
      </c>
      <c r="M525">
        <v>1</v>
      </c>
      <c r="N525" t="e">
        <f t="shared" si="36"/>
        <v>#N/A</v>
      </c>
      <c r="O525" t="str">
        <f t="shared" si="37"/>
        <v/>
      </c>
      <c r="P525" t="str">
        <f t="shared" si="38"/>
        <v/>
      </c>
      <c r="Q525" t="str">
        <f t="shared" si="39"/>
        <v/>
      </c>
      <c r="R525">
        <v>1</v>
      </c>
    </row>
    <row r="526" spans="1:18">
      <c r="A526">
        <f>'PSP Data'!A529</f>
        <v>0</v>
      </c>
      <c r="B526" t="str">
        <f>IF('PSP Data'!B529=0,"",'PSP Data'!B529)</f>
        <v/>
      </c>
      <c r="C526">
        <f>'PSP Data'!C529</f>
        <v>0</v>
      </c>
      <c r="D526">
        <f>'PSP Data'!D529</f>
        <v>0</v>
      </c>
      <c r="E526">
        <f>'PSP Data'!E529</f>
        <v>0</v>
      </c>
      <c r="F526">
        <f>'PSP Data'!F529</f>
        <v>0</v>
      </c>
      <c r="G526">
        <f>'PSP Data'!G529</f>
        <v>0</v>
      </c>
      <c r="H526">
        <f>'PSP Data'!H529</f>
        <v>0</v>
      </c>
      <c r="I526">
        <f>'PSP Data'!I529</f>
        <v>0</v>
      </c>
      <c r="J526" s="29" t="e">
        <f t="shared" si="35"/>
        <v>#N/A</v>
      </c>
      <c r="K526" s="29" t="e">
        <f>IF(AND((A526&lt;'PSP Data'!$C$11),(A526&lt;&gt;0)),Analysis!C526,#N/A)</f>
        <v>#N/A</v>
      </c>
      <c r="L526" t="e">
        <f>IF(VLOOKUP(B526,Table1[],4)=0,"unknown", VLOOKUP(B526,Table1[],4))</f>
        <v>#N/A</v>
      </c>
      <c r="M526">
        <v>1</v>
      </c>
      <c r="N526" t="e">
        <f t="shared" si="36"/>
        <v>#N/A</v>
      </c>
      <c r="O526" t="str">
        <f t="shared" si="37"/>
        <v/>
      </c>
      <c r="P526" t="str">
        <f t="shared" si="38"/>
        <v/>
      </c>
      <c r="Q526" t="str">
        <f t="shared" si="39"/>
        <v/>
      </c>
      <c r="R526">
        <v>1</v>
      </c>
    </row>
    <row r="527" spans="1:18">
      <c r="A527">
        <f>'PSP Data'!A530</f>
        <v>0</v>
      </c>
      <c r="B527" t="str">
        <f>IF('PSP Data'!B530=0,"",'PSP Data'!B530)</f>
        <v/>
      </c>
      <c r="C527">
        <f>'PSP Data'!C530</f>
        <v>0</v>
      </c>
      <c r="D527">
        <f>'PSP Data'!D530</f>
        <v>0</v>
      </c>
      <c r="E527">
        <f>'PSP Data'!E530</f>
        <v>0</v>
      </c>
      <c r="F527">
        <f>'PSP Data'!F530</f>
        <v>0</v>
      </c>
      <c r="G527">
        <f>'PSP Data'!G530</f>
        <v>0</v>
      </c>
      <c r="H527">
        <f>'PSP Data'!H530</f>
        <v>0</v>
      </c>
      <c r="I527">
        <f>'PSP Data'!I530</f>
        <v>0</v>
      </c>
      <c r="J527" s="29" t="e">
        <f t="shared" si="35"/>
        <v>#N/A</v>
      </c>
      <c r="K527" s="29" t="e">
        <f>IF(AND((A527&lt;'PSP Data'!$C$11),(A527&lt;&gt;0)),Analysis!C527,#N/A)</f>
        <v>#N/A</v>
      </c>
      <c r="L527" t="e">
        <f>IF(VLOOKUP(B527,Table1[],4)=0,"unknown", VLOOKUP(B527,Table1[],4))</f>
        <v>#N/A</v>
      </c>
      <c r="M527">
        <v>1</v>
      </c>
      <c r="N527" t="e">
        <f t="shared" si="36"/>
        <v>#N/A</v>
      </c>
      <c r="O527" t="str">
        <f t="shared" si="37"/>
        <v/>
      </c>
      <c r="P527" t="str">
        <f t="shared" si="38"/>
        <v/>
      </c>
      <c r="Q527" t="str">
        <f t="shared" si="39"/>
        <v/>
      </c>
      <c r="R527">
        <v>1</v>
      </c>
    </row>
    <row r="528" spans="1:18">
      <c r="A528">
        <f>'PSP Data'!A531</f>
        <v>0</v>
      </c>
      <c r="B528" t="str">
        <f>IF('PSP Data'!B531=0,"",'PSP Data'!B531)</f>
        <v/>
      </c>
      <c r="C528">
        <f>'PSP Data'!C531</f>
        <v>0</v>
      </c>
      <c r="D528">
        <f>'PSP Data'!D531</f>
        <v>0</v>
      </c>
      <c r="E528">
        <f>'PSP Data'!E531</f>
        <v>0</v>
      </c>
      <c r="F528">
        <f>'PSP Data'!F531</f>
        <v>0</v>
      </c>
      <c r="G528">
        <f>'PSP Data'!G531</f>
        <v>0</v>
      </c>
      <c r="H528">
        <f>'PSP Data'!H531</f>
        <v>0</v>
      </c>
      <c r="I528">
        <f>'PSP Data'!I531</f>
        <v>0</v>
      </c>
      <c r="J528" s="29" t="e">
        <f t="shared" si="35"/>
        <v>#N/A</v>
      </c>
      <c r="K528" s="29" t="e">
        <f>IF(AND((A528&lt;'PSP Data'!$C$11),(A528&lt;&gt;0)),Analysis!C528,#N/A)</f>
        <v>#N/A</v>
      </c>
      <c r="L528" t="e">
        <f>IF(VLOOKUP(B528,Table1[],4)=0,"unknown", VLOOKUP(B528,Table1[],4))</f>
        <v>#N/A</v>
      </c>
      <c r="M528">
        <v>1</v>
      </c>
      <c r="N528" t="e">
        <f t="shared" si="36"/>
        <v>#N/A</v>
      </c>
      <c r="O528" t="str">
        <f t="shared" si="37"/>
        <v/>
      </c>
      <c r="P528" t="str">
        <f t="shared" si="38"/>
        <v/>
      </c>
      <c r="Q528" t="str">
        <f t="shared" si="39"/>
        <v/>
      </c>
      <c r="R528">
        <v>1</v>
      </c>
    </row>
    <row r="529" spans="1:18">
      <c r="A529">
        <f>'PSP Data'!A532</f>
        <v>0</v>
      </c>
      <c r="B529" t="str">
        <f>IF('PSP Data'!B532=0,"",'PSP Data'!B532)</f>
        <v/>
      </c>
      <c r="C529">
        <f>'PSP Data'!C532</f>
        <v>0</v>
      </c>
      <c r="D529">
        <f>'PSP Data'!D532</f>
        <v>0</v>
      </c>
      <c r="E529">
        <f>'PSP Data'!E532</f>
        <v>0</v>
      </c>
      <c r="F529">
        <f>'PSP Data'!F532</f>
        <v>0</v>
      </c>
      <c r="G529">
        <f>'PSP Data'!G532</f>
        <v>0</v>
      </c>
      <c r="H529">
        <f>'PSP Data'!H532</f>
        <v>0</v>
      </c>
      <c r="I529">
        <f>'PSP Data'!I532</f>
        <v>0</v>
      </c>
      <c r="J529" s="29" t="e">
        <f t="shared" si="35"/>
        <v>#N/A</v>
      </c>
      <c r="K529" s="29" t="e">
        <f>IF(AND((A529&lt;'PSP Data'!$C$11),(A529&lt;&gt;0)),Analysis!C529,#N/A)</f>
        <v>#N/A</v>
      </c>
      <c r="L529" t="e">
        <f>IF(VLOOKUP(B529,Table1[],4)=0,"unknown", VLOOKUP(B529,Table1[],4))</f>
        <v>#N/A</v>
      </c>
      <c r="M529">
        <v>1</v>
      </c>
      <c r="N529" t="e">
        <f t="shared" si="36"/>
        <v>#N/A</v>
      </c>
      <c r="O529" t="str">
        <f t="shared" si="37"/>
        <v/>
      </c>
      <c r="P529" t="str">
        <f t="shared" si="38"/>
        <v/>
      </c>
      <c r="Q529" t="str">
        <f t="shared" si="39"/>
        <v/>
      </c>
      <c r="R529">
        <v>1</v>
      </c>
    </row>
    <row r="530" spans="1:18">
      <c r="A530">
        <f>'PSP Data'!A533</f>
        <v>0</v>
      </c>
      <c r="B530" t="str">
        <f>IF('PSP Data'!B533=0,"",'PSP Data'!B533)</f>
        <v/>
      </c>
      <c r="C530">
        <f>'PSP Data'!C533</f>
        <v>0</v>
      </c>
      <c r="D530">
        <f>'PSP Data'!D533</f>
        <v>0</v>
      </c>
      <c r="E530">
        <f>'PSP Data'!E533</f>
        <v>0</v>
      </c>
      <c r="F530">
        <f>'PSP Data'!F533</f>
        <v>0</v>
      </c>
      <c r="G530">
        <f>'PSP Data'!G533</f>
        <v>0</v>
      </c>
      <c r="H530">
        <f>'PSP Data'!H533</f>
        <v>0</v>
      </c>
      <c r="I530">
        <f>'PSP Data'!I533</f>
        <v>0</v>
      </c>
      <c r="J530" s="29" t="e">
        <f t="shared" si="35"/>
        <v>#N/A</v>
      </c>
      <c r="K530" s="29" t="e">
        <f>IF(AND((A530&lt;'PSP Data'!$C$11),(A530&lt;&gt;0)),Analysis!C530,#N/A)</f>
        <v>#N/A</v>
      </c>
      <c r="L530" t="e">
        <f>IF(VLOOKUP(B530,Table1[],4)=0,"unknown", VLOOKUP(B530,Table1[],4))</f>
        <v>#N/A</v>
      </c>
      <c r="M530">
        <v>1</v>
      </c>
      <c r="N530" t="e">
        <f t="shared" si="36"/>
        <v>#N/A</v>
      </c>
      <c r="O530" t="str">
        <f t="shared" si="37"/>
        <v/>
      </c>
      <c r="P530" t="str">
        <f t="shared" si="38"/>
        <v/>
      </c>
      <c r="Q530" t="str">
        <f t="shared" si="39"/>
        <v/>
      </c>
      <c r="R530">
        <v>1</v>
      </c>
    </row>
    <row r="531" spans="1:18">
      <c r="A531">
        <f>'PSP Data'!A534</f>
        <v>0</v>
      </c>
      <c r="B531" t="str">
        <f>IF('PSP Data'!B534=0,"",'PSP Data'!B534)</f>
        <v/>
      </c>
      <c r="C531">
        <f>'PSP Data'!C534</f>
        <v>0</v>
      </c>
      <c r="D531">
        <f>'PSP Data'!D534</f>
        <v>0</v>
      </c>
      <c r="E531">
        <f>'PSP Data'!E534</f>
        <v>0</v>
      </c>
      <c r="F531">
        <f>'PSP Data'!F534</f>
        <v>0</v>
      </c>
      <c r="G531">
        <f>'PSP Data'!G534</f>
        <v>0</v>
      </c>
      <c r="H531">
        <f>'PSP Data'!H534</f>
        <v>0</v>
      </c>
      <c r="I531">
        <f>'PSP Data'!I534</f>
        <v>0</v>
      </c>
      <c r="J531" s="29" t="e">
        <f t="shared" si="35"/>
        <v>#N/A</v>
      </c>
      <c r="K531" s="29" t="e">
        <f>IF(AND((A531&lt;'PSP Data'!$C$11),(A531&lt;&gt;0)),Analysis!C531,#N/A)</f>
        <v>#N/A</v>
      </c>
      <c r="L531" t="e">
        <f>IF(VLOOKUP(B531,Table1[],4)=0,"unknown", VLOOKUP(B531,Table1[],4))</f>
        <v>#N/A</v>
      </c>
      <c r="M531">
        <v>1</v>
      </c>
      <c r="N531" t="e">
        <f t="shared" si="36"/>
        <v>#N/A</v>
      </c>
      <c r="O531" t="str">
        <f t="shared" si="37"/>
        <v/>
      </c>
      <c r="P531" t="str">
        <f t="shared" si="38"/>
        <v/>
      </c>
      <c r="Q531" t="str">
        <f t="shared" si="39"/>
        <v/>
      </c>
      <c r="R531">
        <v>1</v>
      </c>
    </row>
    <row r="532" spans="1:18">
      <c r="A532">
        <f>'PSP Data'!A535</f>
        <v>0</v>
      </c>
      <c r="B532" t="str">
        <f>IF('PSP Data'!B535=0,"",'PSP Data'!B535)</f>
        <v/>
      </c>
      <c r="C532">
        <f>'PSP Data'!C535</f>
        <v>0</v>
      </c>
      <c r="D532">
        <f>'PSP Data'!D535</f>
        <v>0</v>
      </c>
      <c r="E532">
        <f>'PSP Data'!E535</f>
        <v>0</v>
      </c>
      <c r="F532">
        <f>'PSP Data'!F535</f>
        <v>0</v>
      </c>
      <c r="G532">
        <f>'PSP Data'!G535</f>
        <v>0</v>
      </c>
      <c r="H532">
        <f>'PSP Data'!H535</f>
        <v>0</v>
      </c>
      <c r="I532">
        <f>'PSP Data'!I535</f>
        <v>0</v>
      </c>
      <c r="J532" s="29" t="e">
        <f t="shared" si="35"/>
        <v>#N/A</v>
      </c>
      <c r="K532" s="29" t="e">
        <f>IF(AND((A532&lt;'PSP Data'!$C$11),(A532&lt;&gt;0)),Analysis!C532,#N/A)</f>
        <v>#N/A</v>
      </c>
      <c r="L532" t="e">
        <f>IF(VLOOKUP(B532,Table1[],4)=0,"unknown", VLOOKUP(B532,Table1[],4))</f>
        <v>#N/A</v>
      </c>
      <c r="M532">
        <v>1</v>
      </c>
      <c r="N532" t="e">
        <f t="shared" si="36"/>
        <v>#N/A</v>
      </c>
      <c r="O532" t="str">
        <f t="shared" si="37"/>
        <v/>
      </c>
      <c r="P532" t="str">
        <f t="shared" si="38"/>
        <v/>
      </c>
      <c r="Q532" t="str">
        <f t="shared" si="39"/>
        <v/>
      </c>
      <c r="R532">
        <v>1</v>
      </c>
    </row>
    <row r="533" spans="1:18">
      <c r="A533">
        <f>'PSP Data'!A536</f>
        <v>0</v>
      </c>
      <c r="B533" t="str">
        <f>IF('PSP Data'!B536=0,"",'PSP Data'!B536)</f>
        <v/>
      </c>
      <c r="C533">
        <f>'PSP Data'!C536</f>
        <v>0</v>
      </c>
      <c r="D533">
        <f>'PSP Data'!D536</f>
        <v>0</v>
      </c>
      <c r="E533">
        <f>'PSP Data'!E536</f>
        <v>0</v>
      </c>
      <c r="F533">
        <f>'PSP Data'!F536</f>
        <v>0</v>
      </c>
      <c r="G533">
        <f>'PSP Data'!G536</f>
        <v>0</v>
      </c>
      <c r="H533">
        <f>'PSP Data'!H536</f>
        <v>0</v>
      </c>
      <c r="I533">
        <f>'PSP Data'!I536</f>
        <v>0</v>
      </c>
      <c r="J533" s="29" t="e">
        <f t="shared" si="35"/>
        <v>#N/A</v>
      </c>
      <c r="K533" s="29" t="e">
        <f>IF(AND((A533&lt;'PSP Data'!$C$11),(A533&lt;&gt;0)),Analysis!C533,#N/A)</f>
        <v>#N/A</v>
      </c>
      <c r="L533" t="e">
        <f>IF(VLOOKUP(B533,Table1[],4)=0,"unknown", VLOOKUP(B533,Table1[],4))</f>
        <v>#N/A</v>
      </c>
      <c r="M533">
        <v>1</v>
      </c>
      <c r="N533" t="e">
        <f t="shared" si="36"/>
        <v>#N/A</v>
      </c>
      <c r="O533" t="str">
        <f t="shared" si="37"/>
        <v/>
      </c>
      <c r="P533" t="str">
        <f t="shared" si="38"/>
        <v/>
      </c>
      <c r="Q533" t="str">
        <f t="shared" si="39"/>
        <v/>
      </c>
      <c r="R533">
        <v>1</v>
      </c>
    </row>
    <row r="534" spans="1:18">
      <c r="A534">
        <f>'PSP Data'!A537</f>
        <v>0</v>
      </c>
      <c r="B534" t="str">
        <f>IF('PSP Data'!B537=0,"",'PSP Data'!B537)</f>
        <v/>
      </c>
      <c r="C534">
        <f>'PSP Data'!C537</f>
        <v>0</v>
      </c>
      <c r="D534">
        <f>'PSP Data'!D537</f>
        <v>0</v>
      </c>
      <c r="E534">
        <f>'PSP Data'!E537</f>
        <v>0</v>
      </c>
      <c r="F534">
        <f>'PSP Data'!F537</f>
        <v>0</v>
      </c>
      <c r="G534">
        <f>'PSP Data'!G537</f>
        <v>0</v>
      </c>
      <c r="H534">
        <f>'PSP Data'!H537</f>
        <v>0</v>
      </c>
      <c r="I534">
        <f>'PSP Data'!I537</f>
        <v>0</v>
      </c>
      <c r="J534" s="29" t="e">
        <f t="shared" ref="J534:J597" si="40">IF(C534&gt;=25,C534,#N/A)</f>
        <v>#N/A</v>
      </c>
      <c r="K534" s="29" t="e">
        <f>IF(AND((A534&lt;'PSP Data'!$C$11),(A534&lt;&gt;0)),Analysis!C534,#N/A)</f>
        <v>#N/A</v>
      </c>
      <c r="L534" t="e">
        <f>IF(VLOOKUP(B534,Table1[],4)=0,"unknown", VLOOKUP(B534,Table1[],4))</f>
        <v>#N/A</v>
      </c>
      <c r="M534">
        <v>1</v>
      </c>
      <c r="N534" t="e">
        <f t="shared" ref="N534:N597" si="41">IF(L534="timber",B534,"")</f>
        <v>#N/A</v>
      </c>
      <c r="O534" t="str">
        <f t="shared" ref="O534:O597" si="42">IF(D534="y",B534,"")</f>
        <v/>
      </c>
      <c r="P534" t="str">
        <f t="shared" ref="P534:P597" si="43">IF(F534="y",B534,"")</f>
        <v/>
      </c>
      <c r="Q534" t="str">
        <f t="shared" ref="Q534:Q597" si="44">IF(B534="","",ISNUMBER(FIND("Dead wood",B534:B1413)))</f>
        <v/>
      </c>
      <c r="R534">
        <v>1</v>
      </c>
    </row>
    <row r="535" spans="1:18">
      <c r="A535">
        <f>'PSP Data'!A538</f>
        <v>0</v>
      </c>
      <c r="B535" t="str">
        <f>IF('PSP Data'!B538=0,"",'PSP Data'!B538)</f>
        <v/>
      </c>
      <c r="C535">
        <f>'PSP Data'!C538</f>
        <v>0</v>
      </c>
      <c r="D535">
        <f>'PSP Data'!D538</f>
        <v>0</v>
      </c>
      <c r="E535">
        <f>'PSP Data'!E538</f>
        <v>0</v>
      </c>
      <c r="F535">
        <f>'PSP Data'!F538</f>
        <v>0</v>
      </c>
      <c r="G535">
        <f>'PSP Data'!G538</f>
        <v>0</v>
      </c>
      <c r="H535">
        <f>'PSP Data'!H538</f>
        <v>0</v>
      </c>
      <c r="I535">
        <f>'PSP Data'!I538</f>
        <v>0</v>
      </c>
      <c r="J535" s="29" t="e">
        <f t="shared" si="40"/>
        <v>#N/A</v>
      </c>
      <c r="K535" s="29" t="e">
        <f>IF(AND((A535&lt;'PSP Data'!$C$11),(A535&lt;&gt;0)),Analysis!C535,#N/A)</f>
        <v>#N/A</v>
      </c>
      <c r="L535" t="e">
        <f>IF(VLOOKUP(B535,Table1[],4)=0,"unknown", VLOOKUP(B535,Table1[],4))</f>
        <v>#N/A</v>
      </c>
      <c r="M535">
        <v>1</v>
      </c>
      <c r="N535" t="e">
        <f t="shared" si="41"/>
        <v>#N/A</v>
      </c>
      <c r="O535" t="str">
        <f t="shared" si="42"/>
        <v/>
      </c>
      <c r="P535" t="str">
        <f t="shared" si="43"/>
        <v/>
      </c>
      <c r="Q535" t="str">
        <f t="shared" si="44"/>
        <v/>
      </c>
      <c r="R535">
        <v>1</v>
      </c>
    </row>
    <row r="536" spans="1:18">
      <c r="A536">
        <f>'PSP Data'!A539</f>
        <v>0</v>
      </c>
      <c r="B536" t="str">
        <f>IF('PSP Data'!B539=0,"",'PSP Data'!B539)</f>
        <v/>
      </c>
      <c r="C536">
        <f>'PSP Data'!C539</f>
        <v>0</v>
      </c>
      <c r="D536">
        <f>'PSP Data'!D539</f>
        <v>0</v>
      </c>
      <c r="E536">
        <f>'PSP Data'!E539</f>
        <v>0</v>
      </c>
      <c r="F536">
        <f>'PSP Data'!F539</f>
        <v>0</v>
      </c>
      <c r="G536">
        <f>'PSP Data'!G539</f>
        <v>0</v>
      </c>
      <c r="H536">
        <f>'PSP Data'!H539</f>
        <v>0</v>
      </c>
      <c r="I536">
        <f>'PSP Data'!I539</f>
        <v>0</v>
      </c>
      <c r="J536" s="29" t="e">
        <f t="shared" si="40"/>
        <v>#N/A</v>
      </c>
      <c r="K536" s="29" t="e">
        <f>IF(AND((A536&lt;'PSP Data'!$C$11),(A536&lt;&gt;0)),Analysis!C536,#N/A)</f>
        <v>#N/A</v>
      </c>
      <c r="L536" t="e">
        <f>IF(VLOOKUP(B536,Table1[],4)=0,"unknown", VLOOKUP(B536,Table1[],4))</f>
        <v>#N/A</v>
      </c>
      <c r="M536">
        <v>1</v>
      </c>
      <c r="N536" t="e">
        <f t="shared" si="41"/>
        <v>#N/A</v>
      </c>
      <c r="O536" t="str">
        <f t="shared" si="42"/>
        <v/>
      </c>
      <c r="P536" t="str">
        <f t="shared" si="43"/>
        <v/>
      </c>
      <c r="Q536" t="str">
        <f t="shared" si="44"/>
        <v/>
      </c>
      <c r="R536">
        <v>1</v>
      </c>
    </row>
    <row r="537" spans="1:18">
      <c r="A537">
        <f>'PSP Data'!A540</f>
        <v>0</v>
      </c>
      <c r="B537" t="str">
        <f>IF('PSP Data'!B540=0,"",'PSP Data'!B540)</f>
        <v/>
      </c>
      <c r="C537">
        <f>'PSP Data'!C540</f>
        <v>0</v>
      </c>
      <c r="D537">
        <f>'PSP Data'!D540</f>
        <v>0</v>
      </c>
      <c r="E537">
        <f>'PSP Data'!E540</f>
        <v>0</v>
      </c>
      <c r="F537">
        <f>'PSP Data'!F540</f>
        <v>0</v>
      </c>
      <c r="G537">
        <f>'PSP Data'!G540</f>
        <v>0</v>
      </c>
      <c r="H537">
        <f>'PSP Data'!H540</f>
        <v>0</v>
      </c>
      <c r="I537">
        <f>'PSP Data'!I540</f>
        <v>0</v>
      </c>
      <c r="J537" s="29" t="e">
        <f t="shared" si="40"/>
        <v>#N/A</v>
      </c>
      <c r="K537" s="29" t="e">
        <f>IF(AND((A537&lt;'PSP Data'!$C$11),(A537&lt;&gt;0)),Analysis!C537,#N/A)</f>
        <v>#N/A</v>
      </c>
      <c r="L537" t="e">
        <f>IF(VLOOKUP(B537,Table1[],4)=0,"unknown", VLOOKUP(B537,Table1[],4))</f>
        <v>#N/A</v>
      </c>
      <c r="M537">
        <v>1</v>
      </c>
      <c r="N537" t="e">
        <f t="shared" si="41"/>
        <v>#N/A</v>
      </c>
      <c r="O537" t="str">
        <f t="shared" si="42"/>
        <v/>
      </c>
      <c r="P537" t="str">
        <f t="shared" si="43"/>
        <v/>
      </c>
      <c r="Q537" t="str">
        <f t="shared" si="44"/>
        <v/>
      </c>
      <c r="R537">
        <v>1</v>
      </c>
    </row>
    <row r="538" spans="1:18">
      <c r="A538">
        <f>'PSP Data'!A541</f>
        <v>0</v>
      </c>
      <c r="B538" t="str">
        <f>IF('PSP Data'!B541=0,"",'PSP Data'!B541)</f>
        <v/>
      </c>
      <c r="C538">
        <f>'PSP Data'!C541</f>
        <v>0</v>
      </c>
      <c r="D538">
        <f>'PSP Data'!D541</f>
        <v>0</v>
      </c>
      <c r="E538">
        <f>'PSP Data'!E541</f>
        <v>0</v>
      </c>
      <c r="F538">
        <f>'PSP Data'!F541</f>
        <v>0</v>
      </c>
      <c r="G538">
        <f>'PSP Data'!G541</f>
        <v>0</v>
      </c>
      <c r="H538">
        <f>'PSP Data'!H541</f>
        <v>0</v>
      </c>
      <c r="I538">
        <f>'PSP Data'!I541</f>
        <v>0</v>
      </c>
      <c r="J538" s="29" t="e">
        <f t="shared" si="40"/>
        <v>#N/A</v>
      </c>
      <c r="K538" s="29" t="e">
        <f>IF(AND((A538&lt;'PSP Data'!$C$11),(A538&lt;&gt;0)),Analysis!C538,#N/A)</f>
        <v>#N/A</v>
      </c>
      <c r="L538" t="e">
        <f>IF(VLOOKUP(B538,Table1[],4)=0,"unknown", VLOOKUP(B538,Table1[],4))</f>
        <v>#N/A</v>
      </c>
      <c r="M538">
        <v>1</v>
      </c>
      <c r="N538" t="e">
        <f t="shared" si="41"/>
        <v>#N/A</v>
      </c>
      <c r="O538" t="str">
        <f t="shared" si="42"/>
        <v/>
      </c>
      <c r="P538" t="str">
        <f t="shared" si="43"/>
        <v/>
      </c>
      <c r="Q538" t="str">
        <f t="shared" si="44"/>
        <v/>
      </c>
      <c r="R538">
        <v>1</v>
      </c>
    </row>
    <row r="539" spans="1:18">
      <c r="A539">
        <f>'PSP Data'!A542</f>
        <v>0</v>
      </c>
      <c r="B539" t="str">
        <f>IF('PSP Data'!B542=0,"",'PSP Data'!B542)</f>
        <v/>
      </c>
      <c r="C539">
        <f>'PSP Data'!C542</f>
        <v>0</v>
      </c>
      <c r="D539">
        <f>'PSP Data'!D542</f>
        <v>0</v>
      </c>
      <c r="E539">
        <f>'PSP Data'!E542</f>
        <v>0</v>
      </c>
      <c r="F539">
        <f>'PSP Data'!F542</f>
        <v>0</v>
      </c>
      <c r="G539">
        <f>'PSP Data'!G542</f>
        <v>0</v>
      </c>
      <c r="H539">
        <f>'PSP Data'!H542</f>
        <v>0</v>
      </c>
      <c r="I539">
        <f>'PSP Data'!I542</f>
        <v>0</v>
      </c>
      <c r="J539" s="29" t="e">
        <f t="shared" si="40"/>
        <v>#N/A</v>
      </c>
      <c r="K539" s="29" t="e">
        <f>IF(AND((A539&lt;'PSP Data'!$C$11),(A539&lt;&gt;0)),Analysis!C539,#N/A)</f>
        <v>#N/A</v>
      </c>
      <c r="L539" t="e">
        <f>IF(VLOOKUP(B539,Table1[],4)=0,"unknown", VLOOKUP(B539,Table1[],4))</f>
        <v>#N/A</v>
      </c>
      <c r="M539">
        <v>1</v>
      </c>
      <c r="N539" t="e">
        <f t="shared" si="41"/>
        <v>#N/A</v>
      </c>
      <c r="O539" t="str">
        <f t="shared" si="42"/>
        <v/>
      </c>
      <c r="P539" t="str">
        <f t="shared" si="43"/>
        <v/>
      </c>
      <c r="Q539" t="str">
        <f t="shared" si="44"/>
        <v/>
      </c>
      <c r="R539">
        <v>1</v>
      </c>
    </row>
    <row r="540" spans="1:18">
      <c r="A540">
        <f>'PSP Data'!A543</f>
        <v>0</v>
      </c>
      <c r="B540" t="str">
        <f>IF('PSP Data'!B543=0,"",'PSP Data'!B543)</f>
        <v/>
      </c>
      <c r="C540">
        <f>'PSP Data'!C543</f>
        <v>0</v>
      </c>
      <c r="D540">
        <f>'PSP Data'!D543</f>
        <v>0</v>
      </c>
      <c r="E540">
        <f>'PSP Data'!E543</f>
        <v>0</v>
      </c>
      <c r="F540">
        <f>'PSP Data'!F543</f>
        <v>0</v>
      </c>
      <c r="G540">
        <f>'PSP Data'!G543</f>
        <v>0</v>
      </c>
      <c r="H540">
        <f>'PSP Data'!H543</f>
        <v>0</v>
      </c>
      <c r="I540">
        <f>'PSP Data'!I543</f>
        <v>0</v>
      </c>
      <c r="J540" s="29" t="e">
        <f t="shared" si="40"/>
        <v>#N/A</v>
      </c>
      <c r="K540" s="29" t="e">
        <f>IF(AND((A540&lt;'PSP Data'!$C$11),(A540&lt;&gt;0)),Analysis!C540,#N/A)</f>
        <v>#N/A</v>
      </c>
      <c r="L540" t="e">
        <f>IF(VLOOKUP(B540,Table1[],4)=0,"unknown", VLOOKUP(B540,Table1[],4))</f>
        <v>#N/A</v>
      </c>
      <c r="M540">
        <v>1</v>
      </c>
      <c r="N540" t="e">
        <f t="shared" si="41"/>
        <v>#N/A</v>
      </c>
      <c r="O540" t="str">
        <f t="shared" si="42"/>
        <v/>
      </c>
      <c r="P540" t="str">
        <f t="shared" si="43"/>
        <v/>
      </c>
      <c r="Q540" t="str">
        <f t="shared" si="44"/>
        <v/>
      </c>
      <c r="R540">
        <v>1</v>
      </c>
    </row>
    <row r="541" spans="1:18">
      <c r="A541">
        <f>'PSP Data'!A544</f>
        <v>0</v>
      </c>
      <c r="B541" t="str">
        <f>IF('PSP Data'!B544=0,"",'PSP Data'!B544)</f>
        <v/>
      </c>
      <c r="C541">
        <f>'PSP Data'!C544</f>
        <v>0</v>
      </c>
      <c r="D541">
        <f>'PSP Data'!D544</f>
        <v>0</v>
      </c>
      <c r="E541">
        <f>'PSP Data'!E544</f>
        <v>0</v>
      </c>
      <c r="F541">
        <f>'PSP Data'!F544</f>
        <v>0</v>
      </c>
      <c r="G541">
        <f>'PSP Data'!G544</f>
        <v>0</v>
      </c>
      <c r="H541">
        <f>'PSP Data'!H544</f>
        <v>0</v>
      </c>
      <c r="I541">
        <f>'PSP Data'!I544</f>
        <v>0</v>
      </c>
      <c r="J541" s="29" t="e">
        <f t="shared" si="40"/>
        <v>#N/A</v>
      </c>
      <c r="K541" s="29" t="e">
        <f>IF(AND((A541&lt;'PSP Data'!$C$11),(A541&lt;&gt;0)),Analysis!C541,#N/A)</f>
        <v>#N/A</v>
      </c>
      <c r="L541" t="e">
        <f>IF(VLOOKUP(B541,Table1[],4)=0,"unknown", VLOOKUP(B541,Table1[],4))</f>
        <v>#N/A</v>
      </c>
      <c r="M541">
        <v>1</v>
      </c>
      <c r="N541" t="e">
        <f t="shared" si="41"/>
        <v>#N/A</v>
      </c>
      <c r="O541" t="str">
        <f t="shared" si="42"/>
        <v/>
      </c>
      <c r="P541" t="str">
        <f t="shared" si="43"/>
        <v/>
      </c>
      <c r="Q541" t="str">
        <f t="shared" si="44"/>
        <v/>
      </c>
      <c r="R541">
        <v>1</v>
      </c>
    </row>
    <row r="542" spans="1:18">
      <c r="A542">
        <f>'PSP Data'!A545</f>
        <v>0</v>
      </c>
      <c r="B542" t="str">
        <f>IF('PSP Data'!B545=0,"",'PSP Data'!B545)</f>
        <v/>
      </c>
      <c r="C542">
        <f>'PSP Data'!C545</f>
        <v>0</v>
      </c>
      <c r="D542">
        <f>'PSP Data'!D545</f>
        <v>0</v>
      </c>
      <c r="E542">
        <f>'PSP Data'!E545</f>
        <v>0</v>
      </c>
      <c r="F542">
        <f>'PSP Data'!F545</f>
        <v>0</v>
      </c>
      <c r="G542">
        <f>'PSP Data'!G545</f>
        <v>0</v>
      </c>
      <c r="H542">
        <f>'PSP Data'!H545</f>
        <v>0</v>
      </c>
      <c r="I542">
        <f>'PSP Data'!I545</f>
        <v>0</v>
      </c>
      <c r="J542" s="29" t="e">
        <f t="shared" si="40"/>
        <v>#N/A</v>
      </c>
      <c r="K542" s="29" t="e">
        <f>IF(AND((A542&lt;'PSP Data'!$C$11),(A542&lt;&gt;0)),Analysis!C542,#N/A)</f>
        <v>#N/A</v>
      </c>
      <c r="L542" t="e">
        <f>IF(VLOOKUP(B542,Table1[],4)=0,"unknown", VLOOKUP(B542,Table1[],4))</f>
        <v>#N/A</v>
      </c>
      <c r="M542">
        <v>1</v>
      </c>
      <c r="N542" t="e">
        <f t="shared" si="41"/>
        <v>#N/A</v>
      </c>
      <c r="O542" t="str">
        <f t="shared" si="42"/>
        <v/>
      </c>
      <c r="P542" t="str">
        <f t="shared" si="43"/>
        <v/>
      </c>
      <c r="Q542" t="str">
        <f t="shared" si="44"/>
        <v/>
      </c>
      <c r="R542">
        <v>1</v>
      </c>
    </row>
    <row r="543" spans="1:18">
      <c r="A543">
        <f>'PSP Data'!A546</f>
        <v>0</v>
      </c>
      <c r="B543" t="str">
        <f>IF('PSP Data'!B546=0,"",'PSP Data'!B546)</f>
        <v/>
      </c>
      <c r="C543">
        <f>'PSP Data'!C546</f>
        <v>0</v>
      </c>
      <c r="D543">
        <f>'PSP Data'!D546</f>
        <v>0</v>
      </c>
      <c r="E543">
        <f>'PSP Data'!E546</f>
        <v>0</v>
      </c>
      <c r="F543">
        <f>'PSP Data'!F546</f>
        <v>0</v>
      </c>
      <c r="G543">
        <f>'PSP Data'!G546</f>
        <v>0</v>
      </c>
      <c r="H543">
        <f>'PSP Data'!H546</f>
        <v>0</v>
      </c>
      <c r="I543">
        <f>'PSP Data'!I546</f>
        <v>0</v>
      </c>
      <c r="J543" s="29" t="e">
        <f t="shared" si="40"/>
        <v>#N/A</v>
      </c>
      <c r="K543" s="29" t="e">
        <f>IF(AND((A543&lt;'PSP Data'!$C$11),(A543&lt;&gt;0)),Analysis!C543,#N/A)</f>
        <v>#N/A</v>
      </c>
      <c r="L543" t="e">
        <f>IF(VLOOKUP(B543,Table1[],4)=0,"unknown", VLOOKUP(B543,Table1[],4))</f>
        <v>#N/A</v>
      </c>
      <c r="M543">
        <v>1</v>
      </c>
      <c r="N543" t="e">
        <f t="shared" si="41"/>
        <v>#N/A</v>
      </c>
      <c r="O543" t="str">
        <f t="shared" si="42"/>
        <v/>
      </c>
      <c r="P543" t="str">
        <f t="shared" si="43"/>
        <v/>
      </c>
      <c r="Q543" t="str">
        <f t="shared" si="44"/>
        <v/>
      </c>
      <c r="R543">
        <v>1</v>
      </c>
    </row>
    <row r="544" spans="1:18">
      <c r="A544">
        <f>'PSP Data'!A547</f>
        <v>0</v>
      </c>
      <c r="B544" t="str">
        <f>IF('PSP Data'!B547=0,"",'PSP Data'!B547)</f>
        <v/>
      </c>
      <c r="C544">
        <f>'PSP Data'!C547</f>
        <v>0</v>
      </c>
      <c r="D544">
        <f>'PSP Data'!D547</f>
        <v>0</v>
      </c>
      <c r="E544">
        <f>'PSP Data'!E547</f>
        <v>0</v>
      </c>
      <c r="F544">
        <f>'PSP Data'!F547</f>
        <v>0</v>
      </c>
      <c r="G544">
        <f>'PSP Data'!G547</f>
        <v>0</v>
      </c>
      <c r="H544">
        <f>'PSP Data'!H547</f>
        <v>0</v>
      </c>
      <c r="I544">
        <f>'PSP Data'!I547</f>
        <v>0</v>
      </c>
      <c r="J544" s="29" t="e">
        <f t="shared" si="40"/>
        <v>#N/A</v>
      </c>
      <c r="K544" s="29" t="e">
        <f>IF(AND((A544&lt;'PSP Data'!$C$11),(A544&lt;&gt;0)),Analysis!C544,#N/A)</f>
        <v>#N/A</v>
      </c>
      <c r="L544" t="e">
        <f>IF(VLOOKUP(B544,Table1[],4)=0,"unknown", VLOOKUP(B544,Table1[],4))</f>
        <v>#N/A</v>
      </c>
      <c r="M544">
        <v>1</v>
      </c>
      <c r="N544" t="e">
        <f t="shared" si="41"/>
        <v>#N/A</v>
      </c>
      <c r="O544" t="str">
        <f t="shared" si="42"/>
        <v/>
      </c>
      <c r="P544" t="str">
        <f t="shared" si="43"/>
        <v/>
      </c>
      <c r="Q544" t="str">
        <f t="shared" si="44"/>
        <v/>
      </c>
      <c r="R544">
        <v>1</v>
      </c>
    </row>
    <row r="545" spans="1:18">
      <c r="A545">
        <f>'PSP Data'!A548</f>
        <v>0</v>
      </c>
      <c r="B545" t="str">
        <f>IF('PSP Data'!B548=0,"",'PSP Data'!B548)</f>
        <v/>
      </c>
      <c r="C545">
        <f>'PSP Data'!C548</f>
        <v>0</v>
      </c>
      <c r="D545">
        <f>'PSP Data'!D548</f>
        <v>0</v>
      </c>
      <c r="E545">
        <f>'PSP Data'!E548</f>
        <v>0</v>
      </c>
      <c r="F545">
        <f>'PSP Data'!F548</f>
        <v>0</v>
      </c>
      <c r="G545">
        <f>'PSP Data'!G548</f>
        <v>0</v>
      </c>
      <c r="H545">
        <f>'PSP Data'!H548</f>
        <v>0</v>
      </c>
      <c r="I545">
        <f>'PSP Data'!I548</f>
        <v>0</v>
      </c>
      <c r="J545" s="29" t="e">
        <f t="shared" si="40"/>
        <v>#N/A</v>
      </c>
      <c r="K545" s="29" t="e">
        <f>IF(AND((A545&lt;'PSP Data'!$C$11),(A545&lt;&gt;0)),Analysis!C545,#N/A)</f>
        <v>#N/A</v>
      </c>
      <c r="L545" t="e">
        <f>IF(VLOOKUP(B545,Table1[],4)=0,"unknown", VLOOKUP(B545,Table1[],4))</f>
        <v>#N/A</v>
      </c>
      <c r="M545">
        <v>1</v>
      </c>
      <c r="N545" t="e">
        <f t="shared" si="41"/>
        <v>#N/A</v>
      </c>
      <c r="O545" t="str">
        <f t="shared" si="42"/>
        <v/>
      </c>
      <c r="P545" t="str">
        <f t="shared" si="43"/>
        <v/>
      </c>
      <c r="Q545" t="str">
        <f t="shared" si="44"/>
        <v/>
      </c>
      <c r="R545">
        <v>1</v>
      </c>
    </row>
    <row r="546" spans="1:18">
      <c r="A546">
        <f>'PSP Data'!A549</f>
        <v>0</v>
      </c>
      <c r="B546" t="str">
        <f>IF('PSP Data'!B549=0,"",'PSP Data'!B549)</f>
        <v/>
      </c>
      <c r="C546">
        <f>'PSP Data'!C549</f>
        <v>0</v>
      </c>
      <c r="D546">
        <f>'PSP Data'!D549</f>
        <v>0</v>
      </c>
      <c r="E546">
        <f>'PSP Data'!E549</f>
        <v>0</v>
      </c>
      <c r="F546">
        <f>'PSP Data'!F549</f>
        <v>0</v>
      </c>
      <c r="G546">
        <f>'PSP Data'!G549</f>
        <v>0</v>
      </c>
      <c r="H546">
        <f>'PSP Data'!H549</f>
        <v>0</v>
      </c>
      <c r="I546">
        <f>'PSP Data'!I549</f>
        <v>0</v>
      </c>
      <c r="J546" s="29" t="e">
        <f t="shared" si="40"/>
        <v>#N/A</v>
      </c>
      <c r="K546" s="29" t="e">
        <f>IF(AND((A546&lt;'PSP Data'!$C$11),(A546&lt;&gt;0)),Analysis!C546,#N/A)</f>
        <v>#N/A</v>
      </c>
      <c r="L546" t="e">
        <f>IF(VLOOKUP(B546,Table1[],4)=0,"unknown", VLOOKUP(B546,Table1[],4))</f>
        <v>#N/A</v>
      </c>
      <c r="M546">
        <v>1</v>
      </c>
      <c r="N546" t="e">
        <f t="shared" si="41"/>
        <v>#N/A</v>
      </c>
      <c r="O546" t="str">
        <f t="shared" si="42"/>
        <v/>
      </c>
      <c r="P546" t="str">
        <f t="shared" si="43"/>
        <v/>
      </c>
      <c r="Q546" t="str">
        <f t="shared" si="44"/>
        <v/>
      </c>
      <c r="R546">
        <v>1</v>
      </c>
    </row>
    <row r="547" spans="1:18">
      <c r="A547">
        <f>'PSP Data'!A550</f>
        <v>0</v>
      </c>
      <c r="B547" t="str">
        <f>IF('PSP Data'!B550=0,"",'PSP Data'!B550)</f>
        <v/>
      </c>
      <c r="C547">
        <f>'PSP Data'!C550</f>
        <v>0</v>
      </c>
      <c r="D547">
        <f>'PSP Data'!D550</f>
        <v>0</v>
      </c>
      <c r="E547">
        <f>'PSP Data'!E550</f>
        <v>0</v>
      </c>
      <c r="F547">
        <f>'PSP Data'!F550</f>
        <v>0</v>
      </c>
      <c r="G547">
        <f>'PSP Data'!G550</f>
        <v>0</v>
      </c>
      <c r="H547">
        <f>'PSP Data'!H550</f>
        <v>0</v>
      </c>
      <c r="I547">
        <f>'PSP Data'!I550</f>
        <v>0</v>
      </c>
      <c r="J547" s="29" t="e">
        <f t="shared" si="40"/>
        <v>#N/A</v>
      </c>
      <c r="K547" s="29" t="e">
        <f>IF(AND((A547&lt;'PSP Data'!$C$11),(A547&lt;&gt;0)),Analysis!C547,#N/A)</f>
        <v>#N/A</v>
      </c>
      <c r="L547" t="e">
        <f>IF(VLOOKUP(B547,Table1[],4)=0,"unknown", VLOOKUP(B547,Table1[],4))</f>
        <v>#N/A</v>
      </c>
      <c r="M547">
        <v>1</v>
      </c>
      <c r="N547" t="e">
        <f t="shared" si="41"/>
        <v>#N/A</v>
      </c>
      <c r="O547" t="str">
        <f t="shared" si="42"/>
        <v/>
      </c>
      <c r="P547" t="str">
        <f t="shared" si="43"/>
        <v/>
      </c>
      <c r="Q547" t="str">
        <f t="shared" si="44"/>
        <v/>
      </c>
      <c r="R547">
        <v>1</v>
      </c>
    </row>
    <row r="548" spans="1:18">
      <c r="A548">
        <f>'PSP Data'!A551</f>
        <v>0</v>
      </c>
      <c r="B548" t="str">
        <f>IF('PSP Data'!B551=0,"",'PSP Data'!B551)</f>
        <v/>
      </c>
      <c r="C548">
        <f>'PSP Data'!C551</f>
        <v>0</v>
      </c>
      <c r="D548">
        <f>'PSP Data'!D551</f>
        <v>0</v>
      </c>
      <c r="E548">
        <f>'PSP Data'!E551</f>
        <v>0</v>
      </c>
      <c r="F548">
        <f>'PSP Data'!F551</f>
        <v>0</v>
      </c>
      <c r="G548">
        <f>'PSP Data'!G551</f>
        <v>0</v>
      </c>
      <c r="H548">
        <f>'PSP Data'!H551</f>
        <v>0</v>
      </c>
      <c r="I548">
        <f>'PSP Data'!I551</f>
        <v>0</v>
      </c>
      <c r="J548" s="29" t="e">
        <f t="shared" si="40"/>
        <v>#N/A</v>
      </c>
      <c r="K548" s="29" t="e">
        <f>IF(AND((A548&lt;'PSP Data'!$C$11),(A548&lt;&gt;0)),Analysis!C548,#N/A)</f>
        <v>#N/A</v>
      </c>
      <c r="L548" t="e">
        <f>IF(VLOOKUP(B548,Table1[],4)=0,"unknown", VLOOKUP(B548,Table1[],4))</f>
        <v>#N/A</v>
      </c>
      <c r="M548">
        <v>1</v>
      </c>
      <c r="N548" t="e">
        <f t="shared" si="41"/>
        <v>#N/A</v>
      </c>
      <c r="O548" t="str">
        <f t="shared" si="42"/>
        <v/>
      </c>
      <c r="P548" t="str">
        <f t="shared" si="43"/>
        <v/>
      </c>
      <c r="Q548" t="str">
        <f t="shared" si="44"/>
        <v/>
      </c>
      <c r="R548">
        <v>1</v>
      </c>
    </row>
    <row r="549" spans="1:18">
      <c r="A549">
        <f>'PSP Data'!A552</f>
        <v>0</v>
      </c>
      <c r="B549" t="str">
        <f>IF('PSP Data'!B552=0,"",'PSP Data'!B552)</f>
        <v/>
      </c>
      <c r="C549">
        <f>'PSP Data'!C552</f>
        <v>0</v>
      </c>
      <c r="D549">
        <f>'PSP Data'!D552</f>
        <v>0</v>
      </c>
      <c r="E549">
        <f>'PSP Data'!E552</f>
        <v>0</v>
      </c>
      <c r="F549">
        <f>'PSP Data'!F552</f>
        <v>0</v>
      </c>
      <c r="G549">
        <f>'PSP Data'!G552</f>
        <v>0</v>
      </c>
      <c r="H549">
        <f>'PSP Data'!H552</f>
        <v>0</v>
      </c>
      <c r="I549">
        <f>'PSP Data'!I552</f>
        <v>0</v>
      </c>
      <c r="J549" s="29" t="e">
        <f t="shared" si="40"/>
        <v>#N/A</v>
      </c>
      <c r="K549" s="29" t="e">
        <f>IF(AND((A549&lt;'PSP Data'!$C$11),(A549&lt;&gt;0)),Analysis!C549,#N/A)</f>
        <v>#N/A</v>
      </c>
      <c r="L549" t="e">
        <f>IF(VLOOKUP(B549,Table1[],4)=0,"unknown", VLOOKUP(B549,Table1[],4))</f>
        <v>#N/A</v>
      </c>
      <c r="M549">
        <v>1</v>
      </c>
      <c r="N549" t="e">
        <f t="shared" si="41"/>
        <v>#N/A</v>
      </c>
      <c r="O549" t="str">
        <f t="shared" si="42"/>
        <v/>
      </c>
      <c r="P549" t="str">
        <f t="shared" si="43"/>
        <v/>
      </c>
      <c r="Q549" t="str">
        <f t="shared" si="44"/>
        <v/>
      </c>
      <c r="R549">
        <v>1</v>
      </c>
    </row>
    <row r="550" spans="1:18">
      <c r="A550">
        <f>'PSP Data'!A553</f>
        <v>0</v>
      </c>
      <c r="B550" t="str">
        <f>IF('PSP Data'!B553=0,"",'PSP Data'!B553)</f>
        <v/>
      </c>
      <c r="C550">
        <f>'PSP Data'!C553</f>
        <v>0</v>
      </c>
      <c r="D550">
        <f>'PSP Data'!D553</f>
        <v>0</v>
      </c>
      <c r="E550">
        <f>'PSP Data'!E553</f>
        <v>0</v>
      </c>
      <c r="F550">
        <f>'PSP Data'!F553</f>
        <v>0</v>
      </c>
      <c r="G550">
        <f>'PSP Data'!G553</f>
        <v>0</v>
      </c>
      <c r="H550">
        <f>'PSP Data'!H553</f>
        <v>0</v>
      </c>
      <c r="I550">
        <f>'PSP Data'!I553</f>
        <v>0</v>
      </c>
      <c r="J550" s="29" t="e">
        <f t="shared" si="40"/>
        <v>#N/A</v>
      </c>
      <c r="K550" s="29" t="e">
        <f>IF(AND((A550&lt;'PSP Data'!$C$11),(A550&lt;&gt;0)),Analysis!C550,#N/A)</f>
        <v>#N/A</v>
      </c>
      <c r="L550" t="e">
        <f>IF(VLOOKUP(B550,Table1[],4)=0,"unknown", VLOOKUP(B550,Table1[],4))</f>
        <v>#N/A</v>
      </c>
      <c r="M550">
        <v>1</v>
      </c>
      <c r="N550" t="e">
        <f t="shared" si="41"/>
        <v>#N/A</v>
      </c>
      <c r="O550" t="str">
        <f t="shared" si="42"/>
        <v/>
      </c>
      <c r="P550" t="str">
        <f t="shared" si="43"/>
        <v/>
      </c>
      <c r="Q550" t="str">
        <f t="shared" si="44"/>
        <v/>
      </c>
      <c r="R550">
        <v>1</v>
      </c>
    </row>
    <row r="551" spans="1:18">
      <c r="A551">
        <f>'PSP Data'!A554</f>
        <v>0</v>
      </c>
      <c r="B551" t="str">
        <f>IF('PSP Data'!B554=0,"",'PSP Data'!B554)</f>
        <v/>
      </c>
      <c r="C551">
        <f>'PSP Data'!C554</f>
        <v>0</v>
      </c>
      <c r="D551">
        <f>'PSP Data'!D554</f>
        <v>0</v>
      </c>
      <c r="E551">
        <f>'PSP Data'!E554</f>
        <v>0</v>
      </c>
      <c r="F551">
        <f>'PSP Data'!F554</f>
        <v>0</v>
      </c>
      <c r="G551">
        <f>'PSP Data'!G554</f>
        <v>0</v>
      </c>
      <c r="H551">
        <f>'PSP Data'!H554</f>
        <v>0</v>
      </c>
      <c r="I551">
        <f>'PSP Data'!I554</f>
        <v>0</v>
      </c>
      <c r="J551" s="29" t="e">
        <f t="shared" si="40"/>
        <v>#N/A</v>
      </c>
      <c r="K551" s="29" t="e">
        <f>IF(AND((A551&lt;'PSP Data'!$C$11),(A551&lt;&gt;0)),Analysis!C551,#N/A)</f>
        <v>#N/A</v>
      </c>
      <c r="L551" t="e">
        <f>IF(VLOOKUP(B551,Table1[],4)=0,"unknown", VLOOKUP(B551,Table1[],4))</f>
        <v>#N/A</v>
      </c>
      <c r="M551">
        <v>1</v>
      </c>
      <c r="N551" t="e">
        <f t="shared" si="41"/>
        <v>#N/A</v>
      </c>
      <c r="O551" t="str">
        <f t="shared" si="42"/>
        <v/>
      </c>
      <c r="P551" t="str">
        <f t="shared" si="43"/>
        <v/>
      </c>
      <c r="Q551" t="str">
        <f t="shared" si="44"/>
        <v/>
      </c>
      <c r="R551">
        <v>1</v>
      </c>
    </row>
    <row r="552" spans="1:18">
      <c r="A552">
        <f>'PSP Data'!A555</f>
        <v>0</v>
      </c>
      <c r="B552" t="str">
        <f>IF('PSP Data'!B555=0,"",'PSP Data'!B555)</f>
        <v/>
      </c>
      <c r="C552">
        <f>'PSP Data'!C555</f>
        <v>0</v>
      </c>
      <c r="D552">
        <f>'PSP Data'!D555</f>
        <v>0</v>
      </c>
      <c r="E552">
        <f>'PSP Data'!E555</f>
        <v>0</v>
      </c>
      <c r="F552">
        <f>'PSP Data'!F555</f>
        <v>0</v>
      </c>
      <c r="G552">
        <f>'PSP Data'!G555</f>
        <v>0</v>
      </c>
      <c r="H552">
        <f>'PSP Data'!H555</f>
        <v>0</v>
      </c>
      <c r="I552">
        <f>'PSP Data'!I555</f>
        <v>0</v>
      </c>
      <c r="J552" s="29" t="e">
        <f t="shared" si="40"/>
        <v>#N/A</v>
      </c>
      <c r="K552" s="29" t="e">
        <f>IF(AND((A552&lt;'PSP Data'!$C$11),(A552&lt;&gt;0)),Analysis!C552,#N/A)</f>
        <v>#N/A</v>
      </c>
      <c r="L552" t="e">
        <f>IF(VLOOKUP(B552,Table1[],4)=0,"unknown", VLOOKUP(B552,Table1[],4))</f>
        <v>#N/A</v>
      </c>
      <c r="M552">
        <v>1</v>
      </c>
      <c r="N552" t="e">
        <f t="shared" si="41"/>
        <v>#N/A</v>
      </c>
      <c r="O552" t="str">
        <f t="shared" si="42"/>
        <v/>
      </c>
      <c r="P552" t="str">
        <f t="shared" si="43"/>
        <v/>
      </c>
      <c r="Q552" t="str">
        <f t="shared" si="44"/>
        <v/>
      </c>
      <c r="R552">
        <v>1</v>
      </c>
    </row>
    <row r="553" spans="1:18">
      <c r="A553">
        <f>'PSP Data'!A556</f>
        <v>0</v>
      </c>
      <c r="B553" t="str">
        <f>IF('PSP Data'!B556=0,"",'PSP Data'!B556)</f>
        <v/>
      </c>
      <c r="C553">
        <f>'PSP Data'!C556</f>
        <v>0</v>
      </c>
      <c r="D553">
        <f>'PSP Data'!D556</f>
        <v>0</v>
      </c>
      <c r="E553">
        <f>'PSP Data'!E556</f>
        <v>0</v>
      </c>
      <c r="F553">
        <f>'PSP Data'!F556</f>
        <v>0</v>
      </c>
      <c r="G553">
        <f>'PSP Data'!G556</f>
        <v>0</v>
      </c>
      <c r="H553">
        <f>'PSP Data'!H556</f>
        <v>0</v>
      </c>
      <c r="I553">
        <f>'PSP Data'!I556</f>
        <v>0</v>
      </c>
      <c r="J553" s="29" t="e">
        <f t="shared" si="40"/>
        <v>#N/A</v>
      </c>
      <c r="K553" s="29" t="e">
        <f>IF(AND((A553&lt;'PSP Data'!$C$11),(A553&lt;&gt;0)),Analysis!C553,#N/A)</f>
        <v>#N/A</v>
      </c>
      <c r="L553" t="e">
        <f>IF(VLOOKUP(B553,Table1[],4)=0,"unknown", VLOOKUP(B553,Table1[],4))</f>
        <v>#N/A</v>
      </c>
      <c r="M553">
        <v>1</v>
      </c>
      <c r="N553" t="e">
        <f t="shared" si="41"/>
        <v>#N/A</v>
      </c>
      <c r="O553" t="str">
        <f t="shared" si="42"/>
        <v/>
      </c>
      <c r="P553" t="str">
        <f t="shared" si="43"/>
        <v/>
      </c>
      <c r="Q553" t="str">
        <f t="shared" si="44"/>
        <v/>
      </c>
      <c r="R553">
        <v>1</v>
      </c>
    </row>
    <row r="554" spans="1:18">
      <c r="A554">
        <f>'PSP Data'!A557</f>
        <v>0</v>
      </c>
      <c r="B554" t="str">
        <f>IF('PSP Data'!B557=0,"",'PSP Data'!B557)</f>
        <v/>
      </c>
      <c r="C554">
        <f>'PSP Data'!C557</f>
        <v>0</v>
      </c>
      <c r="D554">
        <f>'PSP Data'!D557</f>
        <v>0</v>
      </c>
      <c r="E554">
        <f>'PSP Data'!E557</f>
        <v>0</v>
      </c>
      <c r="F554">
        <f>'PSP Data'!F557</f>
        <v>0</v>
      </c>
      <c r="G554">
        <f>'PSP Data'!G557</f>
        <v>0</v>
      </c>
      <c r="H554">
        <f>'PSP Data'!H557</f>
        <v>0</v>
      </c>
      <c r="I554">
        <f>'PSP Data'!I557</f>
        <v>0</v>
      </c>
      <c r="J554" s="29" t="e">
        <f t="shared" si="40"/>
        <v>#N/A</v>
      </c>
      <c r="K554" s="29" t="e">
        <f>IF(AND((A554&lt;'PSP Data'!$C$11),(A554&lt;&gt;0)),Analysis!C554,#N/A)</f>
        <v>#N/A</v>
      </c>
      <c r="L554" t="e">
        <f>IF(VLOOKUP(B554,Table1[],4)=0,"unknown", VLOOKUP(B554,Table1[],4))</f>
        <v>#N/A</v>
      </c>
      <c r="M554">
        <v>1</v>
      </c>
      <c r="N554" t="e">
        <f t="shared" si="41"/>
        <v>#N/A</v>
      </c>
      <c r="O554" t="str">
        <f t="shared" si="42"/>
        <v/>
      </c>
      <c r="P554" t="str">
        <f t="shared" si="43"/>
        <v/>
      </c>
      <c r="Q554" t="str">
        <f t="shared" si="44"/>
        <v/>
      </c>
      <c r="R554">
        <v>1</v>
      </c>
    </row>
    <row r="555" spans="1:18">
      <c r="A555">
        <f>'PSP Data'!A558</f>
        <v>0</v>
      </c>
      <c r="B555" t="str">
        <f>IF('PSP Data'!B558=0,"",'PSP Data'!B558)</f>
        <v/>
      </c>
      <c r="C555">
        <f>'PSP Data'!C558</f>
        <v>0</v>
      </c>
      <c r="D555">
        <f>'PSP Data'!D558</f>
        <v>0</v>
      </c>
      <c r="E555">
        <f>'PSP Data'!E558</f>
        <v>0</v>
      </c>
      <c r="F555">
        <f>'PSP Data'!F558</f>
        <v>0</v>
      </c>
      <c r="G555">
        <f>'PSP Data'!G558</f>
        <v>0</v>
      </c>
      <c r="H555">
        <f>'PSP Data'!H558</f>
        <v>0</v>
      </c>
      <c r="I555">
        <f>'PSP Data'!I558</f>
        <v>0</v>
      </c>
      <c r="J555" s="29" t="e">
        <f t="shared" si="40"/>
        <v>#N/A</v>
      </c>
      <c r="K555" s="29" t="e">
        <f>IF(AND((A555&lt;'PSP Data'!$C$11),(A555&lt;&gt;0)),Analysis!C555,#N/A)</f>
        <v>#N/A</v>
      </c>
      <c r="L555" t="e">
        <f>IF(VLOOKUP(B555,Table1[],4)=0,"unknown", VLOOKUP(B555,Table1[],4))</f>
        <v>#N/A</v>
      </c>
      <c r="M555">
        <v>1</v>
      </c>
      <c r="N555" t="e">
        <f t="shared" si="41"/>
        <v>#N/A</v>
      </c>
      <c r="O555" t="str">
        <f t="shared" si="42"/>
        <v/>
      </c>
      <c r="P555" t="str">
        <f t="shared" si="43"/>
        <v/>
      </c>
      <c r="Q555" t="str">
        <f t="shared" si="44"/>
        <v/>
      </c>
      <c r="R555">
        <v>1</v>
      </c>
    </row>
    <row r="556" spans="1:18">
      <c r="A556">
        <f>'PSP Data'!A559</f>
        <v>0</v>
      </c>
      <c r="B556" t="str">
        <f>IF('PSP Data'!B559=0,"",'PSP Data'!B559)</f>
        <v/>
      </c>
      <c r="C556">
        <f>'PSP Data'!C559</f>
        <v>0</v>
      </c>
      <c r="D556">
        <f>'PSP Data'!D559</f>
        <v>0</v>
      </c>
      <c r="E556">
        <f>'PSP Data'!E559</f>
        <v>0</v>
      </c>
      <c r="F556">
        <f>'PSP Data'!F559</f>
        <v>0</v>
      </c>
      <c r="G556">
        <f>'PSP Data'!G559</f>
        <v>0</v>
      </c>
      <c r="H556">
        <f>'PSP Data'!H559</f>
        <v>0</v>
      </c>
      <c r="I556">
        <f>'PSP Data'!I559</f>
        <v>0</v>
      </c>
      <c r="J556" s="29" t="e">
        <f t="shared" si="40"/>
        <v>#N/A</v>
      </c>
      <c r="K556" s="29" t="e">
        <f>IF(AND((A556&lt;'PSP Data'!$C$11),(A556&lt;&gt;0)),Analysis!C556,#N/A)</f>
        <v>#N/A</v>
      </c>
      <c r="L556" t="e">
        <f>IF(VLOOKUP(B556,Table1[],4)=0,"unknown", VLOOKUP(B556,Table1[],4))</f>
        <v>#N/A</v>
      </c>
      <c r="M556">
        <v>1</v>
      </c>
      <c r="N556" t="e">
        <f t="shared" si="41"/>
        <v>#N/A</v>
      </c>
      <c r="O556" t="str">
        <f t="shared" si="42"/>
        <v/>
      </c>
      <c r="P556" t="str">
        <f t="shared" si="43"/>
        <v/>
      </c>
      <c r="Q556" t="str">
        <f t="shared" si="44"/>
        <v/>
      </c>
      <c r="R556">
        <v>1</v>
      </c>
    </row>
    <row r="557" spans="1:18">
      <c r="A557">
        <f>'PSP Data'!A560</f>
        <v>0</v>
      </c>
      <c r="B557" t="str">
        <f>IF('PSP Data'!B560=0,"",'PSP Data'!B560)</f>
        <v/>
      </c>
      <c r="C557">
        <f>'PSP Data'!C560</f>
        <v>0</v>
      </c>
      <c r="D557">
        <f>'PSP Data'!D560</f>
        <v>0</v>
      </c>
      <c r="E557">
        <f>'PSP Data'!E560</f>
        <v>0</v>
      </c>
      <c r="F557">
        <f>'PSP Data'!F560</f>
        <v>0</v>
      </c>
      <c r="G557">
        <f>'PSP Data'!G560</f>
        <v>0</v>
      </c>
      <c r="H557">
        <f>'PSP Data'!H560</f>
        <v>0</v>
      </c>
      <c r="I557">
        <f>'PSP Data'!I560</f>
        <v>0</v>
      </c>
      <c r="J557" s="29" t="e">
        <f t="shared" si="40"/>
        <v>#N/A</v>
      </c>
      <c r="K557" s="29" t="e">
        <f>IF(AND((A557&lt;'PSP Data'!$C$11),(A557&lt;&gt;0)),Analysis!C557,#N/A)</f>
        <v>#N/A</v>
      </c>
      <c r="L557" t="e">
        <f>IF(VLOOKUP(B557,Table1[],4)=0,"unknown", VLOOKUP(B557,Table1[],4))</f>
        <v>#N/A</v>
      </c>
      <c r="M557">
        <v>1</v>
      </c>
      <c r="N557" t="e">
        <f t="shared" si="41"/>
        <v>#N/A</v>
      </c>
      <c r="O557" t="str">
        <f t="shared" si="42"/>
        <v/>
      </c>
      <c r="P557" t="str">
        <f t="shared" si="43"/>
        <v/>
      </c>
      <c r="Q557" t="str">
        <f t="shared" si="44"/>
        <v/>
      </c>
      <c r="R557">
        <v>1</v>
      </c>
    </row>
    <row r="558" spans="1:18">
      <c r="A558">
        <f>'PSP Data'!A561</f>
        <v>0</v>
      </c>
      <c r="B558" t="str">
        <f>IF('PSP Data'!B561=0,"",'PSP Data'!B561)</f>
        <v/>
      </c>
      <c r="C558">
        <f>'PSP Data'!C561</f>
        <v>0</v>
      </c>
      <c r="D558">
        <f>'PSP Data'!D561</f>
        <v>0</v>
      </c>
      <c r="E558">
        <f>'PSP Data'!E561</f>
        <v>0</v>
      </c>
      <c r="F558">
        <f>'PSP Data'!F561</f>
        <v>0</v>
      </c>
      <c r="G558">
        <f>'PSP Data'!G561</f>
        <v>0</v>
      </c>
      <c r="H558">
        <f>'PSP Data'!H561</f>
        <v>0</v>
      </c>
      <c r="I558">
        <f>'PSP Data'!I561</f>
        <v>0</v>
      </c>
      <c r="J558" s="29" t="e">
        <f t="shared" si="40"/>
        <v>#N/A</v>
      </c>
      <c r="K558" s="29" t="e">
        <f>IF(AND((A558&lt;'PSP Data'!$C$11),(A558&lt;&gt;0)),Analysis!C558,#N/A)</f>
        <v>#N/A</v>
      </c>
      <c r="L558" t="e">
        <f>IF(VLOOKUP(B558,Table1[],4)=0,"unknown", VLOOKUP(B558,Table1[],4))</f>
        <v>#N/A</v>
      </c>
      <c r="M558">
        <v>1</v>
      </c>
      <c r="N558" t="e">
        <f t="shared" si="41"/>
        <v>#N/A</v>
      </c>
      <c r="O558" t="str">
        <f t="shared" si="42"/>
        <v/>
      </c>
      <c r="P558" t="str">
        <f t="shared" si="43"/>
        <v/>
      </c>
      <c r="Q558" t="str">
        <f t="shared" si="44"/>
        <v/>
      </c>
      <c r="R558">
        <v>1</v>
      </c>
    </row>
    <row r="559" spans="1:18">
      <c r="A559">
        <f>'PSP Data'!A562</f>
        <v>0</v>
      </c>
      <c r="B559" t="str">
        <f>IF('PSP Data'!B562=0,"",'PSP Data'!B562)</f>
        <v/>
      </c>
      <c r="C559">
        <f>'PSP Data'!C562</f>
        <v>0</v>
      </c>
      <c r="D559">
        <f>'PSP Data'!D562</f>
        <v>0</v>
      </c>
      <c r="E559">
        <f>'PSP Data'!E562</f>
        <v>0</v>
      </c>
      <c r="F559">
        <f>'PSP Data'!F562</f>
        <v>0</v>
      </c>
      <c r="G559">
        <f>'PSP Data'!G562</f>
        <v>0</v>
      </c>
      <c r="H559">
        <f>'PSP Data'!H562</f>
        <v>0</v>
      </c>
      <c r="I559">
        <f>'PSP Data'!I562</f>
        <v>0</v>
      </c>
      <c r="J559" s="29" t="e">
        <f t="shared" si="40"/>
        <v>#N/A</v>
      </c>
      <c r="K559" s="29" t="e">
        <f>IF(AND((A559&lt;'PSP Data'!$C$11),(A559&lt;&gt;0)),Analysis!C559,#N/A)</f>
        <v>#N/A</v>
      </c>
      <c r="L559" t="e">
        <f>IF(VLOOKUP(B559,Table1[],4)=0,"unknown", VLOOKUP(B559,Table1[],4))</f>
        <v>#N/A</v>
      </c>
      <c r="M559">
        <v>1</v>
      </c>
      <c r="N559" t="e">
        <f t="shared" si="41"/>
        <v>#N/A</v>
      </c>
      <c r="O559" t="str">
        <f t="shared" si="42"/>
        <v/>
      </c>
      <c r="P559" t="str">
        <f t="shared" si="43"/>
        <v/>
      </c>
      <c r="Q559" t="str">
        <f t="shared" si="44"/>
        <v/>
      </c>
      <c r="R559">
        <v>1</v>
      </c>
    </row>
    <row r="560" spans="1:18">
      <c r="A560">
        <f>'PSP Data'!A563</f>
        <v>0</v>
      </c>
      <c r="B560" t="str">
        <f>IF('PSP Data'!B563=0,"",'PSP Data'!B563)</f>
        <v/>
      </c>
      <c r="C560">
        <f>'PSP Data'!C563</f>
        <v>0</v>
      </c>
      <c r="D560">
        <f>'PSP Data'!D563</f>
        <v>0</v>
      </c>
      <c r="E560">
        <f>'PSP Data'!E563</f>
        <v>0</v>
      </c>
      <c r="F560">
        <f>'PSP Data'!F563</f>
        <v>0</v>
      </c>
      <c r="G560">
        <f>'PSP Data'!G563</f>
        <v>0</v>
      </c>
      <c r="H560">
        <f>'PSP Data'!H563</f>
        <v>0</v>
      </c>
      <c r="I560">
        <f>'PSP Data'!I563</f>
        <v>0</v>
      </c>
      <c r="J560" s="29" t="e">
        <f t="shared" si="40"/>
        <v>#N/A</v>
      </c>
      <c r="K560" s="29" t="e">
        <f>IF(AND((A560&lt;'PSP Data'!$C$11),(A560&lt;&gt;0)),Analysis!C560,#N/A)</f>
        <v>#N/A</v>
      </c>
      <c r="L560" t="e">
        <f>IF(VLOOKUP(B560,Table1[],4)=0,"unknown", VLOOKUP(B560,Table1[],4))</f>
        <v>#N/A</v>
      </c>
      <c r="M560">
        <v>1</v>
      </c>
      <c r="N560" t="e">
        <f t="shared" si="41"/>
        <v>#N/A</v>
      </c>
      <c r="O560" t="str">
        <f t="shared" si="42"/>
        <v/>
      </c>
      <c r="P560" t="str">
        <f t="shared" si="43"/>
        <v/>
      </c>
      <c r="Q560" t="str">
        <f t="shared" si="44"/>
        <v/>
      </c>
      <c r="R560">
        <v>1</v>
      </c>
    </row>
    <row r="561" spans="1:18">
      <c r="A561">
        <f>'PSP Data'!A564</f>
        <v>0</v>
      </c>
      <c r="B561" t="str">
        <f>IF('PSP Data'!B564=0,"",'PSP Data'!B564)</f>
        <v/>
      </c>
      <c r="C561">
        <f>'PSP Data'!C564</f>
        <v>0</v>
      </c>
      <c r="D561">
        <f>'PSP Data'!D564</f>
        <v>0</v>
      </c>
      <c r="E561">
        <f>'PSP Data'!E564</f>
        <v>0</v>
      </c>
      <c r="F561">
        <f>'PSP Data'!F564</f>
        <v>0</v>
      </c>
      <c r="G561">
        <f>'PSP Data'!G564</f>
        <v>0</v>
      </c>
      <c r="H561">
        <f>'PSP Data'!H564</f>
        <v>0</v>
      </c>
      <c r="I561">
        <f>'PSP Data'!I564</f>
        <v>0</v>
      </c>
      <c r="J561" s="29" t="e">
        <f t="shared" si="40"/>
        <v>#N/A</v>
      </c>
      <c r="K561" s="29" t="e">
        <f>IF(AND((A561&lt;'PSP Data'!$C$11),(A561&lt;&gt;0)),Analysis!C561,#N/A)</f>
        <v>#N/A</v>
      </c>
      <c r="L561" t="e">
        <f>IF(VLOOKUP(B561,Table1[],4)=0,"unknown", VLOOKUP(B561,Table1[],4))</f>
        <v>#N/A</v>
      </c>
      <c r="M561">
        <v>1</v>
      </c>
      <c r="N561" t="e">
        <f t="shared" si="41"/>
        <v>#N/A</v>
      </c>
      <c r="O561" t="str">
        <f t="shared" si="42"/>
        <v/>
      </c>
      <c r="P561" t="str">
        <f t="shared" si="43"/>
        <v/>
      </c>
      <c r="Q561" t="str">
        <f t="shared" si="44"/>
        <v/>
      </c>
      <c r="R561">
        <v>1</v>
      </c>
    </row>
    <row r="562" spans="1:18">
      <c r="A562">
        <f>'PSP Data'!A565</f>
        <v>0</v>
      </c>
      <c r="B562" t="str">
        <f>IF('PSP Data'!B565=0,"",'PSP Data'!B565)</f>
        <v/>
      </c>
      <c r="C562">
        <f>'PSP Data'!C565</f>
        <v>0</v>
      </c>
      <c r="D562">
        <f>'PSP Data'!D565</f>
        <v>0</v>
      </c>
      <c r="E562">
        <f>'PSP Data'!E565</f>
        <v>0</v>
      </c>
      <c r="F562">
        <f>'PSP Data'!F565</f>
        <v>0</v>
      </c>
      <c r="G562">
        <f>'PSP Data'!G565</f>
        <v>0</v>
      </c>
      <c r="H562">
        <f>'PSP Data'!H565</f>
        <v>0</v>
      </c>
      <c r="I562">
        <f>'PSP Data'!I565</f>
        <v>0</v>
      </c>
      <c r="J562" s="29" t="e">
        <f t="shared" si="40"/>
        <v>#N/A</v>
      </c>
      <c r="K562" s="29" t="e">
        <f>IF(AND((A562&lt;'PSP Data'!$C$11),(A562&lt;&gt;0)),Analysis!C562,#N/A)</f>
        <v>#N/A</v>
      </c>
      <c r="L562" t="e">
        <f>IF(VLOOKUP(B562,Table1[],4)=0,"unknown", VLOOKUP(B562,Table1[],4))</f>
        <v>#N/A</v>
      </c>
      <c r="M562">
        <v>1</v>
      </c>
      <c r="N562" t="e">
        <f t="shared" si="41"/>
        <v>#N/A</v>
      </c>
      <c r="O562" t="str">
        <f t="shared" si="42"/>
        <v/>
      </c>
      <c r="P562" t="str">
        <f t="shared" si="43"/>
        <v/>
      </c>
      <c r="Q562" t="str">
        <f t="shared" si="44"/>
        <v/>
      </c>
      <c r="R562">
        <v>1</v>
      </c>
    </row>
    <row r="563" spans="1:18">
      <c r="A563">
        <f>'PSP Data'!A566</f>
        <v>0</v>
      </c>
      <c r="B563" t="str">
        <f>IF('PSP Data'!B566=0,"",'PSP Data'!B566)</f>
        <v/>
      </c>
      <c r="C563">
        <f>'PSP Data'!C566</f>
        <v>0</v>
      </c>
      <c r="D563">
        <f>'PSP Data'!D566</f>
        <v>0</v>
      </c>
      <c r="E563">
        <f>'PSP Data'!E566</f>
        <v>0</v>
      </c>
      <c r="F563">
        <f>'PSP Data'!F566</f>
        <v>0</v>
      </c>
      <c r="G563">
        <f>'PSP Data'!G566</f>
        <v>0</v>
      </c>
      <c r="H563">
        <f>'PSP Data'!H566</f>
        <v>0</v>
      </c>
      <c r="I563">
        <f>'PSP Data'!I566</f>
        <v>0</v>
      </c>
      <c r="J563" s="29" t="e">
        <f t="shared" si="40"/>
        <v>#N/A</v>
      </c>
      <c r="K563" s="29" t="e">
        <f>IF(AND((A563&lt;'PSP Data'!$C$11),(A563&lt;&gt;0)),Analysis!C563,#N/A)</f>
        <v>#N/A</v>
      </c>
      <c r="L563" t="e">
        <f>IF(VLOOKUP(B563,Table1[],4)=0,"unknown", VLOOKUP(B563,Table1[],4))</f>
        <v>#N/A</v>
      </c>
      <c r="M563">
        <v>1</v>
      </c>
      <c r="N563" t="e">
        <f t="shared" si="41"/>
        <v>#N/A</v>
      </c>
      <c r="O563" t="str">
        <f t="shared" si="42"/>
        <v/>
      </c>
      <c r="P563" t="str">
        <f t="shared" si="43"/>
        <v/>
      </c>
      <c r="Q563" t="str">
        <f t="shared" si="44"/>
        <v/>
      </c>
      <c r="R563">
        <v>1</v>
      </c>
    </row>
    <row r="564" spans="1:18">
      <c r="A564">
        <f>'PSP Data'!A567</f>
        <v>0</v>
      </c>
      <c r="B564" t="str">
        <f>IF('PSP Data'!B567=0,"",'PSP Data'!B567)</f>
        <v/>
      </c>
      <c r="C564">
        <f>'PSP Data'!C567</f>
        <v>0</v>
      </c>
      <c r="D564">
        <f>'PSP Data'!D567</f>
        <v>0</v>
      </c>
      <c r="E564">
        <f>'PSP Data'!E567</f>
        <v>0</v>
      </c>
      <c r="F564">
        <f>'PSP Data'!F567</f>
        <v>0</v>
      </c>
      <c r="G564">
        <f>'PSP Data'!G567</f>
        <v>0</v>
      </c>
      <c r="H564">
        <f>'PSP Data'!H567</f>
        <v>0</v>
      </c>
      <c r="I564">
        <f>'PSP Data'!I567</f>
        <v>0</v>
      </c>
      <c r="J564" s="29" t="e">
        <f t="shared" si="40"/>
        <v>#N/A</v>
      </c>
      <c r="K564" s="29" t="e">
        <f>IF(AND((A564&lt;'PSP Data'!$C$11),(A564&lt;&gt;0)),Analysis!C564,#N/A)</f>
        <v>#N/A</v>
      </c>
      <c r="L564" t="e">
        <f>IF(VLOOKUP(B564,Table1[],4)=0,"unknown", VLOOKUP(B564,Table1[],4))</f>
        <v>#N/A</v>
      </c>
      <c r="M564">
        <v>1</v>
      </c>
      <c r="N564" t="e">
        <f t="shared" si="41"/>
        <v>#N/A</v>
      </c>
      <c r="O564" t="str">
        <f t="shared" si="42"/>
        <v/>
      </c>
      <c r="P564" t="str">
        <f t="shared" si="43"/>
        <v/>
      </c>
      <c r="Q564" t="str">
        <f t="shared" si="44"/>
        <v/>
      </c>
      <c r="R564">
        <v>1</v>
      </c>
    </row>
    <row r="565" spans="1:18">
      <c r="A565">
        <f>'PSP Data'!A568</f>
        <v>0</v>
      </c>
      <c r="B565" t="str">
        <f>IF('PSP Data'!B568=0,"",'PSP Data'!B568)</f>
        <v/>
      </c>
      <c r="C565">
        <f>'PSP Data'!C568</f>
        <v>0</v>
      </c>
      <c r="D565">
        <f>'PSP Data'!D568</f>
        <v>0</v>
      </c>
      <c r="E565">
        <f>'PSP Data'!E568</f>
        <v>0</v>
      </c>
      <c r="F565">
        <f>'PSP Data'!F568</f>
        <v>0</v>
      </c>
      <c r="G565">
        <f>'PSP Data'!G568</f>
        <v>0</v>
      </c>
      <c r="H565">
        <f>'PSP Data'!H568</f>
        <v>0</v>
      </c>
      <c r="I565">
        <f>'PSP Data'!I568</f>
        <v>0</v>
      </c>
      <c r="J565" s="29" t="e">
        <f t="shared" si="40"/>
        <v>#N/A</v>
      </c>
      <c r="K565" s="29" t="e">
        <f>IF(AND((A565&lt;'PSP Data'!$C$11),(A565&lt;&gt;0)),Analysis!C565,#N/A)</f>
        <v>#N/A</v>
      </c>
      <c r="L565" t="e">
        <f>IF(VLOOKUP(B565,Table1[],4)=0,"unknown", VLOOKUP(B565,Table1[],4))</f>
        <v>#N/A</v>
      </c>
      <c r="M565">
        <v>1</v>
      </c>
      <c r="N565" t="e">
        <f t="shared" si="41"/>
        <v>#N/A</v>
      </c>
      <c r="O565" t="str">
        <f t="shared" si="42"/>
        <v/>
      </c>
      <c r="P565" t="str">
        <f t="shared" si="43"/>
        <v/>
      </c>
      <c r="Q565" t="str">
        <f t="shared" si="44"/>
        <v/>
      </c>
      <c r="R565">
        <v>1</v>
      </c>
    </row>
    <row r="566" spans="1:18">
      <c r="A566">
        <f>'PSP Data'!A569</f>
        <v>0</v>
      </c>
      <c r="B566" t="str">
        <f>IF('PSP Data'!B569=0,"",'PSP Data'!B569)</f>
        <v/>
      </c>
      <c r="C566">
        <f>'PSP Data'!C569</f>
        <v>0</v>
      </c>
      <c r="D566">
        <f>'PSP Data'!D569</f>
        <v>0</v>
      </c>
      <c r="E566">
        <f>'PSP Data'!E569</f>
        <v>0</v>
      </c>
      <c r="F566">
        <f>'PSP Data'!F569</f>
        <v>0</v>
      </c>
      <c r="G566">
        <f>'PSP Data'!G569</f>
        <v>0</v>
      </c>
      <c r="H566">
        <f>'PSP Data'!H569</f>
        <v>0</v>
      </c>
      <c r="I566">
        <f>'PSP Data'!I569</f>
        <v>0</v>
      </c>
      <c r="J566" s="29" t="e">
        <f t="shared" si="40"/>
        <v>#N/A</v>
      </c>
      <c r="K566" s="29" t="e">
        <f>IF(AND((A566&lt;'PSP Data'!$C$11),(A566&lt;&gt;0)),Analysis!C566,#N/A)</f>
        <v>#N/A</v>
      </c>
      <c r="L566" t="e">
        <f>IF(VLOOKUP(B566,Table1[],4)=0,"unknown", VLOOKUP(B566,Table1[],4))</f>
        <v>#N/A</v>
      </c>
      <c r="M566">
        <v>1</v>
      </c>
      <c r="N566" t="e">
        <f t="shared" si="41"/>
        <v>#N/A</v>
      </c>
      <c r="O566" t="str">
        <f t="shared" si="42"/>
        <v/>
      </c>
      <c r="P566" t="str">
        <f t="shared" si="43"/>
        <v/>
      </c>
      <c r="Q566" t="str">
        <f t="shared" si="44"/>
        <v/>
      </c>
      <c r="R566">
        <v>1</v>
      </c>
    </row>
    <row r="567" spans="1:18">
      <c r="A567">
        <f>'PSP Data'!A570</f>
        <v>0</v>
      </c>
      <c r="B567" t="str">
        <f>IF('PSP Data'!B570=0,"",'PSP Data'!B570)</f>
        <v/>
      </c>
      <c r="C567">
        <f>'PSP Data'!C570</f>
        <v>0</v>
      </c>
      <c r="D567">
        <f>'PSP Data'!D570</f>
        <v>0</v>
      </c>
      <c r="E567">
        <f>'PSP Data'!E570</f>
        <v>0</v>
      </c>
      <c r="F567">
        <f>'PSP Data'!F570</f>
        <v>0</v>
      </c>
      <c r="G567">
        <f>'PSP Data'!G570</f>
        <v>0</v>
      </c>
      <c r="H567">
        <f>'PSP Data'!H570</f>
        <v>0</v>
      </c>
      <c r="I567">
        <f>'PSP Data'!I570</f>
        <v>0</v>
      </c>
      <c r="J567" s="29" t="e">
        <f t="shared" si="40"/>
        <v>#N/A</v>
      </c>
      <c r="K567" s="29" t="e">
        <f>IF(AND((A567&lt;'PSP Data'!$C$11),(A567&lt;&gt;0)),Analysis!C567,#N/A)</f>
        <v>#N/A</v>
      </c>
      <c r="L567" t="e">
        <f>IF(VLOOKUP(B567,Table1[],4)=0,"unknown", VLOOKUP(B567,Table1[],4))</f>
        <v>#N/A</v>
      </c>
      <c r="M567">
        <v>1</v>
      </c>
      <c r="N567" t="e">
        <f t="shared" si="41"/>
        <v>#N/A</v>
      </c>
      <c r="O567" t="str">
        <f t="shared" si="42"/>
        <v/>
      </c>
      <c r="P567" t="str">
        <f t="shared" si="43"/>
        <v/>
      </c>
      <c r="Q567" t="str">
        <f t="shared" si="44"/>
        <v/>
      </c>
      <c r="R567">
        <v>1</v>
      </c>
    </row>
    <row r="568" spans="1:18">
      <c r="A568">
        <f>'PSP Data'!A571</f>
        <v>0</v>
      </c>
      <c r="B568" t="str">
        <f>IF('PSP Data'!B571=0,"",'PSP Data'!B571)</f>
        <v/>
      </c>
      <c r="C568">
        <f>'PSP Data'!C571</f>
        <v>0</v>
      </c>
      <c r="D568">
        <f>'PSP Data'!D571</f>
        <v>0</v>
      </c>
      <c r="E568">
        <f>'PSP Data'!E571</f>
        <v>0</v>
      </c>
      <c r="F568">
        <f>'PSP Data'!F571</f>
        <v>0</v>
      </c>
      <c r="G568">
        <f>'PSP Data'!G571</f>
        <v>0</v>
      </c>
      <c r="H568">
        <f>'PSP Data'!H571</f>
        <v>0</v>
      </c>
      <c r="I568">
        <f>'PSP Data'!I571</f>
        <v>0</v>
      </c>
      <c r="J568" s="29" t="e">
        <f t="shared" si="40"/>
        <v>#N/A</v>
      </c>
      <c r="K568" s="29" t="e">
        <f>IF(AND((A568&lt;'PSP Data'!$C$11),(A568&lt;&gt;0)),Analysis!C568,#N/A)</f>
        <v>#N/A</v>
      </c>
      <c r="L568" t="e">
        <f>IF(VLOOKUP(B568,Table1[],4)=0,"unknown", VLOOKUP(B568,Table1[],4))</f>
        <v>#N/A</v>
      </c>
      <c r="M568">
        <v>1</v>
      </c>
      <c r="N568" t="e">
        <f t="shared" si="41"/>
        <v>#N/A</v>
      </c>
      <c r="O568" t="str">
        <f t="shared" si="42"/>
        <v/>
      </c>
      <c r="P568" t="str">
        <f t="shared" si="43"/>
        <v/>
      </c>
      <c r="Q568" t="str">
        <f t="shared" si="44"/>
        <v/>
      </c>
      <c r="R568">
        <v>1</v>
      </c>
    </row>
    <row r="569" spans="1:18">
      <c r="A569">
        <f>'PSP Data'!A572</f>
        <v>0</v>
      </c>
      <c r="B569" t="str">
        <f>IF('PSP Data'!B572=0,"",'PSP Data'!B572)</f>
        <v/>
      </c>
      <c r="C569">
        <f>'PSP Data'!C572</f>
        <v>0</v>
      </c>
      <c r="D569">
        <f>'PSP Data'!D572</f>
        <v>0</v>
      </c>
      <c r="E569">
        <f>'PSP Data'!E572</f>
        <v>0</v>
      </c>
      <c r="F569">
        <f>'PSP Data'!F572</f>
        <v>0</v>
      </c>
      <c r="G569">
        <f>'PSP Data'!G572</f>
        <v>0</v>
      </c>
      <c r="H569">
        <f>'PSP Data'!H572</f>
        <v>0</v>
      </c>
      <c r="I569">
        <f>'PSP Data'!I572</f>
        <v>0</v>
      </c>
      <c r="J569" s="29" t="e">
        <f t="shared" si="40"/>
        <v>#N/A</v>
      </c>
      <c r="K569" s="29" t="e">
        <f>IF(AND((A569&lt;'PSP Data'!$C$11),(A569&lt;&gt;0)),Analysis!C569,#N/A)</f>
        <v>#N/A</v>
      </c>
      <c r="L569" t="e">
        <f>IF(VLOOKUP(B569,Table1[],4)=0,"unknown", VLOOKUP(B569,Table1[],4))</f>
        <v>#N/A</v>
      </c>
      <c r="M569">
        <v>1</v>
      </c>
      <c r="N569" t="e">
        <f t="shared" si="41"/>
        <v>#N/A</v>
      </c>
      <c r="O569" t="str">
        <f t="shared" si="42"/>
        <v/>
      </c>
      <c r="P569" t="str">
        <f t="shared" si="43"/>
        <v/>
      </c>
      <c r="Q569" t="str">
        <f t="shared" si="44"/>
        <v/>
      </c>
      <c r="R569">
        <v>1</v>
      </c>
    </row>
    <row r="570" spans="1:18">
      <c r="A570">
        <f>'PSP Data'!A573</f>
        <v>0</v>
      </c>
      <c r="B570" t="str">
        <f>IF('PSP Data'!B573=0,"",'PSP Data'!B573)</f>
        <v/>
      </c>
      <c r="C570">
        <f>'PSP Data'!C573</f>
        <v>0</v>
      </c>
      <c r="D570">
        <f>'PSP Data'!D573</f>
        <v>0</v>
      </c>
      <c r="E570">
        <f>'PSP Data'!E573</f>
        <v>0</v>
      </c>
      <c r="F570">
        <f>'PSP Data'!F573</f>
        <v>0</v>
      </c>
      <c r="G570">
        <f>'PSP Data'!G573</f>
        <v>0</v>
      </c>
      <c r="H570">
        <f>'PSP Data'!H573</f>
        <v>0</v>
      </c>
      <c r="I570">
        <f>'PSP Data'!I573</f>
        <v>0</v>
      </c>
      <c r="J570" s="29" t="e">
        <f t="shared" si="40"/>
        <v>#N/A</v>
      </c>
      <c r="K570" s="29" t="e">
        <f>IF(AND((A570&lt;'PSP Data'!$C$11),(A570&lt;&gt;0)),Analysis!C570,#N/A)</f>
        <v>#N/A</v>
      </c>
      <c r="L570" t="e">
        <f>IF(VLOOKUP(B570,Table1[],4)=0,"unknown", VLOOKUP(B570,Table1[],4))</f>
        <v>#N/A</v>
      </c>
      <c r="M570">
        <v>1</v>
      </c>
      <c r="N570" t="e">
        <f t="shared" si="41"/>
        <v>#N/A</v>
      </c>
      <c r="O570" t="str">
        <f t="shared" si="42"/>
        <v/>
      </c>
      <c r="P570" t="str">
        <f t="shared" si="43"/>
        <v/>
      </c>
      <c r="Q570" t="str">
        <f t="shared" si="44"/>
        <v/>
      </c>
      <c r="R570">
        <v>1</v>
      </c>
    </row>
    <row r="571" spans="1:18">
      <c r="A571">
        <f>'PSP Data'!A574</f>
        <v>0</v>
      </c>
      <c r="B571" t="str">
        <f>IF('PSP Data'!B574=0,"",'PSP Data'!B574)</f>
        <v/>
      </c>
      <c r="C571">
        <f>'PSP Data'!C574</f>
        <v>0</v>
      </c>
      <c r="D571">
        <f>'PSP Data'!D574</f>
        <v>0</v>
      </c>
      <c r="E571">
        <f>'PSP Data'!E574</f>
        <v>0</v>
      </c>
      <c r="F571">
        <f>'PSP Data'!F574</f>
        <v>0</v>
      </c>
      <c r="G571">
        <f>'PSP Data'!G574</f>
        <v>0</v>
      </c>
      <c r="H571">
        <f>'PSP Data'!H574</f>
        <v>0</v>
      </c>
      <c r="I571">
        <f>'PSP Data'!I574</f>
        <v>0</v>
      </c>
      <c r="J571" s="29" t="e">
        <f t="shared" si="40"/>
        <v>#N/A</v>
      </c>
      <c r="K571" s="29" t="e">
        <f>IF(AND((A571&lt;'PSP Data'!$C$11),(A571&lt;&gt;0)),Analysis!C571,#N/A)</f>
        <v>#N/A</v>
      </c>
      <c r="L571" t="e">
        <f>IF(VLOOKUP(B571,Table1[],4)=0,"unknown", VLOOKUP(B571,Table1[],4))</f>
        <v>#N/A</v>
      </c>
      <c r="M571">
        <v>1</v>
      </c>
      <c r="N571" t="e">
        <f t="shared" si="41"/>
        <v>#N/A</v>
      </c>
      <c r="O571" t="str">
        <f t="shared" si="42"/>
        <v/>
      </c>
      <c r="P571" t="str">
        <f t="shared" si="43"/>
        <v/>
      </c>
      <c r="Q571" t="str">
        <f t="shared" si="44"/>
        <v/>
      </c>
      <c r="R571">
        <v>1</v>
      </c>
    </row>
    <row r="572" spans="1:18">
      <c r="A572">
        <f>'PSP Data'!A575</f>
        <v>0</v>
      </c>
      <c r="B572" t="str">
        <f>IF('PSP Data'!B575=0,"",'PSP Data'!B575)</f>
        <v/>
      </c>
      <c r="C572">
        <f>'PSP Data'!C575</f>
        <v>0</v>
      </c>
      <c r="D572">
        <f>'PSP Data'!D575</f>
        <v>0</v>
      </c>
      <c r="E572">
        <f>'PSP Data'!E575</f>
        <v>0</v>
      </c>
      <c r="F572">
        <f>'PSP Data'!F575</f>
        <v>0</v>
      </c>
      <c r="G572">
        <f>'PSP Data'!G575</f>
        <v>0</v>
      </c>
      <c r="H572">
        <f>'PSP Data'!H575</f>
        <v>0</v>
      </c>
      <c r="I572">
        <f>'PSP Data'!I575</f>
        <v>0</v>
      </c>
      <c r="J572" s="29" t="e">
        <f t="shared" si="40"/>
        <v>#N/A</v>
      </c>
      <c r="K572" s="29" t="e">
        <f>IF(AND((A572&lt;'PSP Data'!$C$11),(A572&lt;&gt;0)),Analysis!C572,#N/A)</f>
        <v>#N/A</v>
      </c>
      <c r="L572" t="e">
        <f>IF(VLOOKUP(B572,Table1[],4)=0,"unknown", VLOOKUP(B572,Table1[],4))</f>
        <v>#N/A</v>
      </c>
      <c r="M572">
        <v>1</v>
      </c>
      <c r="N572" t="e">
        <f t="shared" si="41"/>
        <v>#N/A</v>
      </c>
      <c r="O572" t="str">
        <f t="shared" si="42"/>
        <v/>
      </c>
      <c r="P572" t="str">
        <f t="shared" si="43"/>
        <v/>
      </c>
      <c r="Q572" t="str">
        <f t="shared" si="44"/>
        <v/>
      </c>
      <c r="R572">
        <v>1</v>
      </c>
    </row>
    <row r="573" spans="1:18">
      <c r="A573">
        <f>'PSP Data'!A576</f>
        <v>0</v>
      </c>
      <c r="B573" t="str">
        <f>IF('PSP Data'!B576=0,"",'PSP Data'!B576)</f>
        <v/>
      </c>
      <c r="C573">
        <f>'PSP Data'!C576</f>
        <v>0</v>
      </c>
      <c r="D573">
        <f>'PSP Data'!D576</f>
        <v>0</v>
      </c>
      <c r="E573">
        <f>'PSP Data'!E576</f>
        <v>0</v>
      </c>
      <c r="F573">
        <f>'PSP Data'!F576</f>
        <v>0</v>
      </c>
      <c r="G573">
        <f>'PSP Data'!G576</f>
        <v>0</v>
      </c>
      <c r="H573">
        <f>'PSP Data'!H576</f>
        <v>0</v>
      </c>
      <c r="I573">
        <f>'PSP Data'!I576</f>
        <v>0</v>
      </c>
      <c r="J573" s="29" t="e">
        <f t="shared" si="40"/>
        <v>#N/A</v>
      </c>
      <c r="K573" s="29" t="e">
        <f>IF(AND((A573&lt;'PSP Data'!$C$11),(A573&lt;&gt;0)),Analysis!C573,#N/A)</f>
        <v>#N/A</v>
      </c>
      <c r="L573" t="e">
        <f>IF(VLOOKUP(B573,Table1[],4)=0,"unknown", VLOOKUP(B573,Table1[],4))</f>
        <v>#N/A</v>
      </c>
      <c r="M573">
        <v>1</v>
      </c>
      <c r="N573" t="e">
        <f t="shared" si="41"/>
        <v>#N/A</v>
      </c>
      <c r="O573" t="str">
        <f t="shared" si="42"/>
        <v/>
      </c>
      <c r="P573" t="str">
        <f t="shared" si="43"/>
        <v/>
      </c>
      <c r="Q573" t="str">
        <f t="shared" si="44"/>
        <v/>
      </c>
      <c r="R573">
        <v>1</v>
      </c>
    </row>
    <row r="574" spans="1:18">
      <c r="A574">
        <f>'PSP Data'!A577</f>
        <v>0</v>
      </c>
      <c r="B574" t="str">
        <f>IF('PSP Data'!B577=0,"",'PSP Data'!B577)</f>
        <v/>
      </c>
      <c r="C574">
        <f>'PSP Data'!C577</f>
        <v>0</v>
      </c>
      <c r="D574">
        <f>'PSP Data'!D577</f>
        <v>0</v>
      </c>
      <c r="E574">
        <f>'PSP Data'!E577</f>
        <v>0</v>
      </c>
      <c r="F574">
        <f>'PSP Data'!F577</f>
        <v>0</v>
      </c>
      <c r="G574">
        <f>'PSP Data'!G577</f>
        <v>0</v>
      </c>
      <c r="H574">
        <f>'PSP Data'!H577</f>
        <v>0</v>
      </c>
      <c r="I574">
        <f>'PSP Data'!I577</f>
        <v>0</v>
      </c>
      <c r="J574" s="29" t="e">
        <f t="shared" si="40"/>
        <v>#N/A</v>
      </c>
      <c r="K574" s="29" t="e">
        <f>IF(AND((A574&lt;'PSP Data'!$C$11),(A574&lt;&gt;0)),Analysis!C574,#N/A)</f>
        <v>#N/A</v>
      </c>
      <c r="L574" t="e">
        <f>IF(VLOOKUP(B574,Table1[],4)=0,"unknown", VLOOKUP(B574,Table1[],4))</f>
        <v>#N/A</v>
      </c>
      <c r="M574">
        <v>1</v>
      </c>
      <c r="N574" t="e">
        <f t="shared" si="41"/>
        <v>#N/A</v>
      </c>
      <c r="O574" t="str">
        <f t="shared" si="42"/>
        <v/>
      </c>
      <c r="P574" t="str">
        <f t="shared" si="43"/>
        <v/>
      </c>
      <c r="Q574" t="str">
        <f t="shared" si="44"/>
        <v/>
      </c>
      <c r="R574">
        <v>1</v>
      </c>
    </row>
    <row r="575" spans="1:18">
      <c r="A575">
        <f>'PSP Data'!A578</f>
        <v>0</v>
      </c>
      <c r="B575" t="str">
        <f>IF('PSP Data'!B578=0,"",'PSP Data'!B578)</f>
        <v/>
      </c>
      <c r="C575">
        <f>'PSP Data'!C578</f>
        <v>0</v>
      </c>
      <c r="D575">
        <f>'PSP Data'!D578</f>
        <v>0</v>
      </c>
      <c r="E575">
        <f>'PSP Data'!E578</f>
        <v>0</v>
      </c>
      <c r="F575">
        <f>'PSP Data'!F578</f>
        <v>0</v>
      </c>
      <c r="G575">
        <f>'PSP Data'!G578</f>
        <v>0</v>
      </c>
      <c r="H575">
        <f>'PSP Data'!H578</f>
        <v>0</v>
      </c>
      <c r="I575">
        <f>'PSP Data'!I578</f>
        <v>0</v>
      </c>
      <c r="J575" s="29" t="e">
        <f t="shared" si="40"/>
        <v>#N/A</v>
      </c>
      <c r="K575" s="29" t="e">
        <f>IF(AND((A575&lt;'PSP Data'!$C$11),(A575&lt;&gt;0)),Analysis!C575,#N/A)</f>
        <v>#N/A</v>
      </c>
      <c r="L575" t="e">
        <f>IF(VLOOKUP(B575,Table1[],4)=0,"unknown", VLOOKUP(B575,Table1[],4))</f>
        <v>#N/A</v>
      </c>
      <c r="M575">
        <v>1</v>
      </c>
      <c r="N575" t="e">
        <f t="shared" si="41"/>
        <v>#N/A</v>
      </c>
      <c r="O575" t="str">
        <f t="shared" si="42"/>
        <v/>
      </c>
      <c r="P575" t="str">
        <f t="shared" si="43"/>
        <v/>
      </c>
      <c r="Q575" t="str">
        <f t="shared" si="44"/>
        <v/>
      </c>
      <c r="R575">
        <v>1</v>
      </c>
    </row>
    <row r="576" spans="1:18">
      <c r="A576">
        <f>'PSP Data'!A579</f>
        <v>0</v>
      </c>
      <c r="B576" t="str">
        <f>IF('PSP Data'!B579=0,"",'PSP Data'!B579)</f>
        <v/>
      </c>
      <c r="C576">
        <f>'PSP Data'!C579</f>
        <v>0</v>
      </c>
      <c r="D576">
        <f>'PSP Data'!D579</f>
        <v>0</v>
      </c>
      <c r="E576">
        <f>'PSP Data'!E579</f>
        <v>0</v>
      </c>
      <c r="F576">
        <f>'PSP Data'!F579</f>
        <v>0</v>
      </c>
      <c r="G576">
        <f>'PSP Data'!G579</f>
        <v>0</v>
      </c>
      <c r="H576">
        <f>'PSP Data'!H579</f>
        <v>0</v>
      </c>
      <c r="I576">
        <f>'PSP Data'!I579</f>
        <v>0</v>
      </c>
      <c r="J576" s="29" t="e">
        <f t="shared" si="40"/>
        <v>#N/A</v>
      </c>
      <c r="K576" s="29" t="e">
        <f>IF(AND((A576&lt;'PSP Data'!$C$11),(A576&lt;&gt;0)),Analysis!C576,#N/A)</f>
        <v>#N/A</v>
      </c>
      <c r="L576" t="e">
        <f>IF(VLOOKUP(B576,Table1[],4)=0,"unknown", VLOOKUP(B576,Table1[],4))</f>
        <v>#N/A</v>
      </c>
      <c r="M576">
        <v>1</v>
      </c>
      <c r="N576" t="e">
        <f t="shared" si="41"/>
        <v>#N/A</v>
      </c>
      <c r="O576" t="str">
        <f t="shared" si="42"/>
        <v/>
      </c>
      <c r="P576" t="str">
        <f t="shared" si="43"/>
        <v/>
      </c>
      <c r="Q576" t="str">
        <f t="shared" si="44"/>
        <v/>
      </c>
      <c r="R576">
        <v>1</v>
      </c>
    </row>
    <row r="577" spans="1:18">
      <c r="A577">
        <f>'PSP Data'!A580</f>
        <v>0</v>
      </c>
      <c r="B577" t="str">
        <f>IF('PSP Data'!B580=0,"",'PSP Data'!B580)</f>
        <v/>
      </c>
      <c r="C577">
        <f>'PSP Data'!C580</f>
        <v>0</v>
      </c>
      <c r="D577">
        <f>'PSP Data'!D580</f>
        <v>0</v>
      </c>
      <c r="E577">
        <f>'PSP Data'!E580</f>
        <v>0</v>
      </c>
      <c r="F577">
        <f>'PSP Data'!F580</f>
        <v>0</v>
      </c>
      <c r="G577">
        <f>'PSP Data'!G580</f>
        <v>0</v>
      </c>
      <c r="H577">
        <f>'PSP Data'!H580</f>
        <v>0</v>
      </c>
      <c r="I577">
        <f>'PSP Data'!I580</f>
        <v>0</v>
      </c>
      <c r="J577" s="29" t="e">
        <f t="shared" si="40"/>
        <v>#N/A</v>
      </c>
      <c r="K577" s="29" t="e">
        <f>IF(AND((A577&lt;'PSP Data'!$C$11),(A577&lt;&gt;0)),Analysis!C577,#N/A)</f>
        <v>#N/A</v>
      </c>
      <c r="L577" t="e">
        <f>IF(VLOOKUP(B577,Table1[],4)=0,"unknown", VLOOKUP(B577,Table1[],4))</f>
        <v>#N/A</v>
      </c>
      <c r="M577">
        <v>1</v>
      </c>
      <c r="N577" t="e">
        <f t="shared" si="41"/>
        <v>#N/A</v>
      </c>
      <c r="O577" t="str">
        <f t="shared" si="42"/>
        <v/>
      </c>
      <c r="P577" t="str">
        <f t="shared" si="43"/>
        <v/>
      </c>
      <c r="Q577" t="str">
        <f t="shared" si="44"/>
        <v/>
      </c>
      <c r="R577">
        <v>1</v>
      </c>
    </row>
    <row r="578" spans="1:18">
      <c r="A578">
        <f>'PSP Data'!A581</f>
        <v>0</v>
      </c>
      <c r="B578" t="str">
        <f>IF('PSP Data'!B581=0,"",'PSP Data'!B581)</f>
        <v/>
      </c>
      <c r="C578">
        <f>'PSP Data'!C581</f>
        <v>0</v>
      </c>
      <c r="D578">
        <f>'PSP Data'!D581</f>
        <v>0</v>
      </c>
      <c r="E578">
        <f>'PSP Data'!E581</f>
        <v>0</v>
      </c>
      <c r="F578">
        <f>'PSP Data'!F581</f>
        <v>0</v>
      </c>
      <c r="G578">
        <f>'PSP Data'!G581</f>
        <v>0</v>
      </c>
      <c r="H578">
        <f>'PSP Data'!H581</f>
        <v>0</v>
      </c>
      <c r="I578">
        <f>'PSP Data'!I581</f>
        <v>0</v>
      </c>
      <c r="J578" s="29" t="e">
        <f t="shared" si="40"/>
        <v>#N/A</v>
      </c>
      <c r="K578" s="29" t="e">
        <f>IF(AND((A578&lt;'PSP Data'!$C$11),(A578&lt;&gt;0)),Analysis!C578,#N/A)</f>
        <v>#N/A</v>
      </c>
      <c r="L578" t="e">
        <f>IF(VLOOKUP(B578,Table1[],4)=0,"unknown", VLOOKUP(B578,Table1[],4))</f>
        <v>#N/A</v>
      </c>
      <c r="M578">
        <v>1</v>
      </c>
      <c r="N578" t="e">
        <f t="shared" si="41"/>
        <v>#N/A</v>
      </c>
      <c r="O578" t="str">
        <f t="shared" si="42"/>
        <v/>
      </c>
      <c r="P578" t="str">
        <f t="shared" si="43"/>
        <v/>
      </c>
      <c r="Q578" t="str">
        <f t="shared" si="44"/>
        <v/>
      </c>
      <c r="R578">
        <v>1</v>
      </c>
    </row>
    <row r="579" spans="1:18">
      <c r="A579">
        <f>'PSP Data'!A582</f>
        <v>0</v>
      </c>
      <c r="B579" t="str">
        <f>IF('PSP Data'!B582=0,"",'PSP Data'!B582)</f>
        <v/>
      </c>
      <c r="C579">
        <f>'PSP Data'!C582</f>
        <v>0</v>
      </c>
      <c r="D579">
        <f>'PSP Data'!D582</f>
        <v>0</v>
      </c>
      <c r="E579">
        <f>'PSP Data'!E582</f>
        <v>0</v>
      </c>
      <c r="F579">
        <f>'PSP Data'!F582</f>
        <v>0</v>
      </c>
      <c r="G579">
        <f>'PSP Data'!G582</f>
        <v>0</v>
      </c>
      <c r="H579">
        <f>'PSP Data'!H582</f>
        <v>0</v>
      </c>
      <c r="I579">
        <f>'PSP Data'!I582</f>
        <v>0</v>
      </c>
      <c r="J579" s="29" t="e">
        <f t="shared" si="40"/>
        <v>#N/A</v>
      </c>
      <c r="K579" s="29" t="e">
        <f>IF(AND((A579&lt;'PSP Data'!$C$11),(A579&lt;&gt;0)),Analysis!C579,#N/A)</f>
        <v>#N/A</v>
      </c>
      <c r="L579" t="e">
        <f>IF(VLOOKUP(B579,Table1[],4)=0,"unknown", VLOOKUP(B579,Table1[],4))</f>
        <v>#N/A</v>
      </c>
      <c r="M579">
        <v>1</v>
      </c>
      <c r="N579" t="e">
        <f t="shared" si="41"/>
        <v>#N/A</v>
      </c>
      <c r="O579" t="str">
        <f t="shared" si="42"/>
        <v/>
      </c>
      <c r="P579" t="str">
        <f t="shared" si="43"/>
        <v/>
      </c>
      <c r="Q579" t="str">
        <f t="shared" si="44"/>
        <v/>
      </c>
      <c r="R579">
        <v>1</v>
      </c>
    </row>
    <row r="580" spans="1:18">
      <c r="A580">
        <f>'PSP Data'!A583</f>
        <v>0</v>
      </c>
      <c r="B580" t="str">
        <f>IF('PSP Data'!B583=0,"",'PSP Data'!B583)</f>
        <v/>
      </c>
      <c r="C580">
        <f>'PSP Data'!C583</f>
        <v>0</v>
      </c>
      <c r="D580">
        <f>'PSP Data'!D583</f>
        <v>0</v>
      </c>
      <c r="E580">
        <f>'PSP Data'!E583</f>
        <v>0</v>
      </c>
      <c r="F580">
        <f>'PSP Data'!F583</f>
        <v>0</v>
      </c>
      <c r="G580">
        <f>'PSP Data'!G583</f>
        <v>0</v>
      </c>
      <c r="H580">
        <f>'PSP Data'!H583</f>
        <v>0</v>
      </c>
      <c r="I580">
        <f>'PSP Data'!I583</f>
        <v>0</v>
      </c>
      <c r="J580" s="29" t="e">
        <f t="shared" si="40"/>
        <v>#N/A</v>
      </c>
      <c r="K580" s="29" t="e">
        <f>IF(AND((A580&lt;'PSP Data'!$C$11),(A580&lt;&gt;0)),Analysis!C580,#N/A)</f>
        <v>#N/A</v>
      </c>
      <c r="L580" t="e">
        <f>IF(VLOOKUP(B580,Table1[],4)=0,"unknown", VLOOKUP(B580,Table1[],4))</f>
        <v>#N/A</v>
      </c>
      <c r="M580">
        <v>1</v>
      </c>
      <c r="N580" t="e">
        <f t="shared" si="41"/>
        <v>#N/A</v>
      </c>
      <c r="O580" t="str">
        <f t="shared" si="42"/>
        <v/>
      </c>
      <c r="P580" t="str">
        <f t="shared" si="43"/>
        <v/>
      </c>
      <c r="Q580" t="str">
        <f t="shared" si="44"/>
        <v/>
      </c>
      <c r="R580">
        <v>1</v>
      </c>
    </row>
    <row r="581" spans="1:18">
      <c r="A581">
        <f>'PSP Data'!A584</f>
        <v>0</v>
      </c>
      <c r="B581" t="str">
        <f>IF('PSP Data'!B584=0,"",'PSP Data'!B584)</f>
        <v/>
      </c>
      <c r="C581">
        <f>'PSP Data'!C584</f>
        <v>0</v>
      </c>
      <c r="D581">
        <f>'PSP Data'!D584</f>
        <v>0</v>
      </c>
      <c r="E581">
        <f>'PSP Data'!E584</f>
        <v>0</v>
      </c>
      <c r="F581">
        <f>'PSP Data'!F584</f>
        <v>0</v>
      </c>
      <c r="G581">
        <f>'PSP Data'!G584</f>
        <v>0</v>
      </c>
      <c r="H581">
        <f>'PSP Data'!H584</f>
        <v>0</v>
      </c>
      <c r="I581">
        <f>'PSP Data'!I584</f>
        <v>0</v>
      </c>
      <c r="J581" s="29" t="e">
        <f t="shared" si="40"/>
        <v>#N/A</v>
      </c>
      <c r="K581" s="29" t="e">
        <f>IF(AND((A581&lt;'PSP Data'!$C$11),(A581&lt;&gt;0)),Analysis!C581,#N/A)</f>
        <v>#N/A</v>
      </c>
      <c r="L581" t="e">
        <f>IF(VLOOKUP(B581,Table1[],4)=0,"unknown", VLOOKUP(B581,Table1[],4))</f>
        <v>#N/A</v>
      </c>
      <c r="M581">
        <v>1</v>
      </c>
      <c r="N581" t="e">
        <f t="shared" si="41"/>
        <v>#N/A</v>
      </c>
      <c r="O581" t="str">
        <f t="shared" si="42"/>
        <v/>
      </c>
      <c r="P581" t="str">
        <f t="shared" si="43"/>
        <v/>
      </c>
      <c r="Q581" t="str">
        <f t="shared" si="44"/>
        <v/>
      </c>
      <c r="R581">
        <v>1</v>
      </c>
    </row>
    <row r="582" spans="1:18">
      <c r="A582">
        <f>'PSP Data'!A585</f>
        <v>0</v>
      </c>
      <c r="B582" t="str">
        <f>IF('PSP Data'!B585=0,"",'PSP Data'!B585)</f>
        <v/>
      </c>
      <c r="C582">
        <f>'PSP Data'!C585</f>
        <v>0</v>
      </c>
      <c r="D582">
        <f>'PSP Data'!D585</f>
        <v>0</v>
      </c>
      <c r="E582">
        <f>'PSP Data'!E585</f>
        <v>0</v>
      </c>
      <c r="F582">
        <f>'PSP Data'!F585</f>
        <v>0</v>
      </c>
      <c r="G582">
        <f>'PSP Data'!G585</f>
        <v>0</v>
      </c>
      <c r="H582">
        <f>'PSP Data'!H585</f>
        <v>0</v>
      </c>
      <c r="I582">
        <f>'PSP Data'!I585</f>
        <v>0</v>
      </c>
      <c r="J582" s="29" t="e">
        <f t="shared" si="40"/>
        <v>#N/A</v>
      </c>
      <c r="K582" s="29" t="e">
        <f>IF(AND((A582&lt;'PSP Data'!$C$11),(A582&lt;&gt;0)),Analysis!C582,#N/A)</f>
        <v>#N/A</v>
      </c>
      <c r="L582" t="e">
        <f>IF(VLOOKUP(B582,Table1[],4)=0,"unknown", VLOOKUP(B582,Table1[],4))</f>
        <v>#N/A</v>
      </c>
      <c r="M582">
        <v>1</v>
      </c>
      <c r="N582" t="e">
        <f t="shared" si="41"/>
        <v>#N/A</v>
      </c>
      <c r="O582" t="str">
        <f t="shared" si="42"/>
        <v/>
      </c>
      <c r="P582" t="str">
        <f t="shared" si="43"/>
        <v/>
      </c>
      <c r="Q582" t="str">
        <f t="shared" si="44"/>
        <v/>
      </c>
      <c r="R582">
        <v>1</v>
      </c>
    </row>
    <row r="583" spans="1:18">
      <c r="A583">
        <f>'PSP Data'!A586</f>
        <v>0</v>
      </c>
      <c r="B583" t="str">
        <f>IF('PSP Data'!B586=0,"",'PSP Data'!B586)</f>
        <v/>
      </c>
      <c r="C583">
        <f>'PSP Data'!C586</f>
        <v>0</v>
      </c>
      <c r="D583">
        <f>'PSP Data'!D586</f>
        <v>0</v>
      </c>
      <c r="E583">
        <f>'PSP Data'!E586</f>
        <v>0</v>
      </c>
      <c r="F583">
        <f>'PSP Data'!F586</f>
        <v>0</v>
      </c>
      <c r="G583">
        <f>'PSP Data'!G586</f>
        <v>0</v>
      </c>
      <c r="H583">
        <f>'PSP Data'!H586</f>
        <v>0</v>
      </c>
      <c r="I583">
        <f>'PSP Data'!I586</f>
        <v>0</v>
      </c>
      <c r="J583" s="29" t="e">
        <f t="shared" si="40"/>
        <v>#N/A</v>
      </c>
      <c r="K583" s="29" t="e">
        <f>IF(AND((A583&lt;'PSP Data'!$C$11),(A583&lt;&gt;0)),Analysis!C583,#N/A)</f>
        <v>#N/A</v>
      </c>
      <c r="L583" t="e">
        <f>IF(VLOOKUP(B583,Table1[],4)=0,"unknown", VLOOKUP(B583,Table1[],4))</f>
        <v>#N/A</v>
      </c>
      <c r="M583">
        <v>1</v>
      </c>
      <c r="N583" t="e">
        <f t="shared" si="41"/>
        <v>#N/A</v>
      </c>
      <c r="O583" t="str">
        <f t="shared" si="42"/>
        <v/>
      </c>
      <c r="P583" t="str">
        <f t="shared" si="43"/>
        <v/>
      </c>
      <c r="Q583" t="str">
        <f t="shared" si="44"/>
        <v/>
      </c>
      <c r="R583">
        <v>1</v>
      </c>
    </row>
    <row r="584" spans="1:18">
      <c r="A584">
        <f>'PSP Data'!A587</f>
        <v>0</v>
      </c>
      <c r="B584" t="str">
        <f>IF('PSP Data'!B587=0,"",'PSP Data'!B587)</f>
        <v/>
      </c>
      <c r="C584">
        <f>'PSP Data'!C587</f>
        <v>0</v>
      </c>
      <c r="D584">
        <f>'PSP Data'!D587</f>
        <v>0</v>
      </c>
      <c r="E584">
        <f>'PSP Data'!E587</f>
        <v>0</v>
      </c>
      <c r="F584">
        <f>'PSP Data'!F587</f>
        <v>0</v>
      </c>
      <c r="G584">
        <f>'PSP Data'!G587</f>
        <v>0</v>
      </c>
      <c r="H584">
        <f>'PSP Data'!H587</f>
        <v>0</v>
      </c>
      <c r="I584">
        <f>'PSP Data'!I587</f>
        <v>0</v>
      </c>
      <c r="J584" s="29" t="e">
        <f t="shared" si="40"/>
        <v>#N/A</v>
      </c>
      <c r="K584" s="29" t="e">
        <f>IF(AND((A584&lt;'PSP Data'!$C$11),(A584&lt;&gt;0)),Analysis!C584,#N/A)</f>
        <v>#N/A</v>
      </c>
      <c r="L584" t="e">
        <f>IF(VLOOKUP(B584,Table1[],4)=0,"unknown", VLOOKUP(B584,Table1[],4))</f>
        <v>#N/A</v>
      </c>
      <c r="M584">
        <v>1</v>
      </c>
      <c r="N584" t="e">
        <f t="shared" si="41"/>
        <v>#N/A</v>
      </c>
      <c r="O584" t="str">
        <f t="shared" si="42"/>
        <v/>
      </c>
      <c r="P584" t="str">
        <f t="shared" si="43"/>
        <v/>
      </c>
      <c r="Q584" t="str">
        <f t="shared" si="44"/>
        <v/>
      </c>
      <c r="R584">
        <v>1</v>
      </c>
    </row>
    <row r="585" spans="1:18">
      <c r="A585">
        <f>'PSP Data'!A588</f>
        <v>0</v>
      </c>
      <c r="B585" t="str">
        <f>IF('PSP Data'!B588=0,"",'PSP Data'!B588)</f>
        <v/>
      </c>
      <c r="C585">
        <f>'PSP Data'!C588</f>
        <v>0</v>
      </c>
      <c r="D585">
        <f>'PSP Data'!D588</f>
        <v>0</v>
      </c>
      <c r="E585">
        <f>'PSP Data'!E588</f>
        <v>0</v>
      </c>
      <c r="F585">
        <f>'PSP Data'!F588</f>
        <v>0</v>
      </c>
      <c r="G585">
        <f>'PSP Data'!G588</f>
        <v>0</v>
      </c>
      <c r="H585">
        <f>'PSP Data'!H588</f>
        <v>0</v>
      </c>
      <c r="I585">
        <f>'PSP Data'!I588</f>
        <v>0</v>
      </c>
      <c r="J585" s="29" t="e">
        <f t="shared" si="40"/>
        <v>#N/A</v>
      </c>
      <c r="K585" s="29" t="e">
        <f>IF(AND((A585&lt;'PSP Data'!$C$11),(A585&lt;&gt;0)),Analysis!C585,#N/A)</f>
        <v>#N/A</v>
      </c>
      <c r="L585" t="e">
        <f>IF(VLOOKUP(B585,Table1[],4)=0,"unknown", VLOOKUP(B585,Table1[],4))</f>
        <v>#N/A</v>
      </c>
      <c r="M585">
        <v>1</v>
      </c>
      <c r="N585" t="e">
        <f t="shared" si="41"/>
        <v>#N/A</v>
      </c>
      <c r="O585" t="str">
        <f t="shared" si="42"/>
        <v/>
      </c>
      <c r="P585" t="str">
        <f t="shared" si="43"/>
        <v/>
      </c>
      <c r="Q585" t="str">
        <f t="shared" si="44"/>
        <v/>
      </c>
      <c r="R585">
        <v>1</v>
      </c>
    </row>
    <row r="586" spans="1:18">
      <c r="A586">
        <f>'PSP Data'!A589</f>
        <v>0</v>
      </c>
      <c r="B586" t="str">
        <f>IF('PSP Data'!B589=0,"",'PSP Data'!B589)</f>
        <v/>
      </c>
      <c r="C586">
        <f>'PSP Data'!C589</f>
        <v>0</v>
      </c>
      <c r="D586">
        <f>'PSP Data'!D589</f>
        <v>0</v>
      </c>
      <c r="E586">
        <f>'PSP Data'!E589</f>
        <v>0</v>
      </c>
      <c r="F586">
        <f>'PSP Data'!F589</f>
        <v>0</v>
      </c>
      <c r="G586">
        <f>'PSP Data'!G589</f>
        <v>0</v>
      </c>
      <c r="H586">
        <f>'PSP Data'!H589</f>
        <v>0</v>
      </c>
      <c r="I586">
        <f>'PSP Data'!I589</f>
        <v>0</v>
      </c>
      <c r="J586" s="29" t="e">
        <f t="shared" si="40"/>
        <v>#N/A</v>
      </c>
      <c r="K586" s="29" t="e">
        <f>IF(AND((A586&lt;'PSP Data'!$C$11),(A586&lt;&gt;0)),Analysis!C586,#N/A)</f>
        <v>#N/A</v>
      </c>
      <c r="L586" t="e">
        <f>IF(VLOOKUP(B586,Table1[],4)=0,"unknown", VLOOKUP(B586,Table1[],4))</f>
        <v>#N/A</v>
      </c>
      <c r="M586">
        <v>1</v>
      </c>
      <c r="N586" t="e">
        <f t="shared" si="41"/>
        <v>#N/A</v>
      </c>
      <c r="O586" t="str">
        <f t="shared" si="42"/>
        <v/>
      </c>
      <c r="P586" t="str">
        <f t="shared" si="43"/>
        <v/>
      </c>
      <c r="Q586" t="str">
        <f t="shared" si="44"/>
        <v/>
      </c>
      <c r="R586">
        <v>1</v>
      </c>
    </row>
    <row r="587" spans="1:18">
      <c r="A587">
        <f>'PSP Data'!A590</f>
        <v>0</v>
      </c>
      <c r="B587" t="str">
        <f>IF('PSP Data'!B590=0,"",'PSP Data'!B590)</f>
        <v/>
      </c>
      <c r="C587">
        <f>'PSP Data'!C590</f>
        <v>0</v>
      </c>
      <c r="D587">
        <f>'PSP Data'!D590</f>
        <v>0</v>
      </c>
      <c r="E587">
        <f>'PSP Data'!E590</f>
        <v>0</v>
      </c>
      <c r="F587">
        <f>'PSP Data'!F590</f>
        <v>0</v>
      </c>
      <c r="G587">
        <f>'PSP Data'!G590</f>
        <v>0</v>
      </c>
      <c r="H587">
        <f>'PSP Data'!H590</f>
        <v>0</v>
      </c>
      <c r="I587">
        <f>'PSP Data'!I590</f>
        <v>0</v>
      </c>
      <c r="J587" s="29" t="e">
        <f t="shared" si="40"/>
        <v>#N/A</v>
      </c>
      <c r="K587" s="29" t="e">
        <f>IF(AND((A587&lt;'PSP Data'!$C$11),(A587&lt;&gt;0)),Analysis!C587,#N/A)</f>
        <v>#N/A</v>
      </c>
      <c r="L587" t="e">
        <f>IF(VLOOKUP(B587,Table1[],4)=0,"unknown", VLOOKUP(B587,Table1[],4))</f>
        <v>#N/A</v>
      </c>
      <c r="M587">
        <v>1</v>
      </c>
      <c r="N587" t="e">
        <f t="shared" si="41"/>
        <v>#N/A</v>
      </c>
      <c r="O587" t="str">
        <f t="shared" si="42"/>
        <v/>
      </c>
      <c r="P587" t="str">
        <f t="shared" si="43"/>
        <v/>
      </c>
      <c r="Q587" t="str">
        <f t="shared" si="44"/>
        <v/>
      </c>
      <c r="R587">
        <v>1</v>
      </c>
    </row>
    <row r="588" spans="1:18">
      <c r="A588">
        <f>'PSP Data'!A591</f>
        <v>0</v>
      </c>
      <c r="B588" t="str">
        <f>IF('PSP Data'!B591=0,"",'PSP Data'!B591)</f>
        <v/>
      </c>
      <c r="C588">
        <f>'PSP Data'!C591</f>
        <v>0</v>
      </c>
      <c r="D588">
        <f>'PSP Data'!D591</f>
        <v>0</v>
      </c>
      <c r="E588">
        <f>'PSP Data'!E591</f>
        <v>0</v>
      </c>
      <c r="F588">
        <f>'PSP Data'!F591</f>
        <v>0</v>
      </c>
      <c r="G588">
        <f>'PSP Data'!G591</f>
        <v>0</v>
      </c>
      <c r="H588">
        <f>'PSP Data'!H591</f>
        <v>0</v>
      </c>
      <c r="I588">
        <f>'PSP Data'!I591</f>
        <v>0</v>
      </c>
      <c r="J588" s="29" t="e">
        <f t="shared" si="40"/>
        <v>#N/A</v>
      </c>
      <c r="K588" s="29" t="e">
        <f>IF(AND((A588&lt;'PSP Data'!$C$11),(A588&lt;&gt;0)),Analysis!C588,#N/A)</f>
        <v>#N/A</v>
      </c>
      <c r="L588" t="e">
        <f>IF(VLOOKUP(B588,Table1[],4)=0,"unknown", VLOOKUP(B588,Table1[],4))</f>
        <v>#N/A</v>
      </c>
      <c r="M588">
        <v>1</v>
      </c>
      <c r="N588" t="e">
        <f t="shared" si="41"/>
        <v>#N/A</v>
      </c>
      <c r="O588" t="str">
        <f t="shared" si="42"/>
        <v/>
      </c>
      <c r="P588" t="str">
        <f t="shared" si="43"/>
        <v/>
      </c>
      <c r="Q588" t="str">
        <f t="shared" si="44"/>
        <v/>
      </c>
      <c r="R588">
        <v>1</v>
      </c>
    </row>
    <row r="589" spans="1:18">
      <c r="A589">
        <f>'PSP Data'!A592</f>
        <v>0</v>
      </c>
      <c r="B589" t="str">
        <f>IF('PSP Data'!B592=0,"",'PSP Data'!B592)</f>
        <v/>
      </c>
      <c r="C589">
        <f>'PSP Data'!C592</f>
        <v>0</v>
      </c>
      <c r="D589">
        <f>'PSP Data'!D592</f>
        <v>0</v>
      </c>
      <c r="E589">
        <f>'PSP Data'!E592</f>
        <v>0</v>
      </c>
      <c r="F589">
        <f>'PSP Data'!F592</f>
        <v>0</v>
      </c>
      <c r="G589">
        <f>'PSP Data'!G592</f>
        <v>0</v>
      </c>
      <c r="H589">
        <f>'PSP Data'!H592</f>
        <v>0</v>
      </c>
      <c r="I589">
        <f>'PSP Data'!I592</f>
        <v>0</v>
      </c>
      <c r="J589" s="29" t="e">
        <f t="shared" si="40"/>
        <v>#N/A</v>
      </c>
      <c r="K589" s="29" t="e">
        <f>IF(AND((A589&lt;'PSP Data'!$C$11),(A589&lt;&gt;0)),Analysis!C589,#N/A)</f>
        <v>#N/A</v>
      </c>
      <c r="L589" t="e">
        <f>IF(VLOOKUP(B589,Table1[],4)=0,"unknown", VLOOKUP(B589,Table1[],4))</f>
        <v>#N/A</v>
      </c>
      <c r="M589">
        <v>1</v>
      </c>
      <c r="N589" t="e">
        <f t="shared" si="41"/>
        <v>#N/A</v>
      </c>
      <c r="O589" t="str">
        <f t="shared" si="42"/>
        <v/>
      </c>
      <c r="P589" t="str">
        <f t="shared" si="43"/>
        <v/>
      </c>
      <c r="Q589" t="str">
        <f t="shared" si="44"/>
        <v/>
      </c>
      <c r="R589">
        <v>1</v>
      </c>
    </row>
    <row r="590" spans="1:18">
      <c r="A590">
        <f>'PSP Data'!A593</f>
        <v>0</v>
      </c>
      <c r="B590" t="str">
        <f>IF('PSP Data'!B593=0,"",'PSP Data'!B593)</f>
        <v/>
      </c>
      <c r="C590">
        <f>'PSP Data'!C593</f>
        <v>0</v>
      </c>
      <c r="D590">
        <f>'PSP Data'!D593</f>
        <v>0</v>
      </c>
      <c r="E590">
        <f>'PSP Data'!E593</f>
        <v>0</v>
      </c>
      <c r="F590">
        <f>'PSP Data'!F593</f>
        <v>0</v>
      </c>
      <c r="G590">
        <f>'PSP Data'!G593</f>
        <v>0</v>
      </c>
      <c r="H590">
        <f>'PSP Data'!H593</f>
        <v>0</v>
      </c>
      <c r="I590">
        <f>'PSP Data'!I593</f>
        <v>0</v>
      </c>
      <c r="J590" s="29" t="e">
        <f t="shared" si="40"/>
        <v>#N/A</v>
      </c>
      <c r="K590" s="29" t="e">
        <f>IF(AND((A590&lt;'PSP Data'!$C$11),(A590&lt;&gt;0)),Analysis!C590,#N/A)</f>
        <v>#N/A</v>
      </c>
      <c r="L590" t="e">
        <f>IF(VLOOKUP(B590,Table1[],4)=0,"unknown", VLOOKUP(B590,Table1[],4))</f>
        <v>#N/A</v>
      </c>
      <c r="M590">
        <v>1</v>
      </c>
      <c r="N590" t="e">
        <f t="shared" si="41"/>
        <v>#N/A</v>
      </c>
      <c r="O590" t="str">
        <f t="shared" si="42"/>
        <v/>
      </c>
      <c r="P590" t="str">
        <f t="shared" si="43"/>
        <v/>
      </c>
      <c r="Q590" t="str">
        <f t="shared" si="44"/>
        <v/>
      </c>
      <c r="R590">
        <v>1</v>
      </c>
    </row>
    <row r="591" spans="1:18">
      <c r="A591">
        <f>'PSP Data'!A594</f>
        <v>0</v>
      </c>
      <c r="B591" t="str">
        <f>IF('PSP Data'!B594=0,"",'PSP Data'!B594)</f>
        <v/>
      </c>
      <c r="C591">
        <f>'PSP Data'!C594</f>
        <v>0</v>
      </c>
      <c r="D591">
        <f>'PSP Data'!D594</f>
        <v>0</v>
      </c>
      <c r="E591">
        <f>'PSP Data'!E594</f>
        <v>0</v>
      </c>
      <c r="F591">
        <f>'PSP Data'!F594</f>
        <v>0</v>
      </c>
      <c r="G591">
        <f>'PSP Data'!G594</f>
        <v>0</v>
      </c>
      <c r="H591">
        <f>'PSP Data'!H594</f>
        <v>0</v>
      </c>
      <c r="I591">
        <f>'PSP Data'!I594</f>
        <v>0</v>
      </c>
      <c r="J591" s="29" t="e">
        <f t="shared" si="40"/>
        <v>#N/A</v>
      </c>
      <c r="K591" s="29" t="e">
        <f>IF(AND((A591&lt;'PSP Data'!$C$11),(A591&lt;&gt;0)),Analysis!C591,#N/A)</f>
        <v>#N/A</v>
      </c>
      <c r="L591" t="e">
        <f>IF(VLOOKUP(B591,Table1[],4)=0,"unknown", VLOOKUP(B591,Table1[],4))</f>
        <v>#N/A</v>
      </c>
      <c r="M591">
        <v>1</v>
      </c>
      <c r="N591" t="e">
        <f t="shared" si="41"/>
        <v>#N/A</v>
      </c>
      <c r="O591" t="str">
        <f t="shared" si="42"/>
        <v/>
      </c>
      <c r="P591" t="str">
        <f t="shared" si="43"/>
        <v/>
      </c>
      <c r="Q591" t="str">
        <f t="shared" si="44"/>
        <v/>
      </c>
      <c r="R591">
        <v>1</v>
      </c>
    </row>
    <row r="592" spans="1:18">
      <c r="A592">
        <f>'PSP Data'!A595</f>
        <v>0</v>
      </c>
      <c r="B592" t="str">
        <f>IF('PSP Data'!B595=0,"",'PSP Data'!B595)</f>
        <v/>
      </c>
      <c r="C592">
        <f>'PSP Data'!C595</f>
        <v>0</v>
      </c>
      <c r="D592">
        <f>'PSP Data'!D595</f>
        <v>0</v>
      </c>
      <c r="E592">
        <f>'PSP Data'!E595</f>
        <v>0</v>
      </c>
      <c r="F592">
        <f>'PSP Data'!F595</f>
        <v>0</v>
      </c>
      <c r="G592">
        <f>'PSP Data'!G595</f>
        <v>0</v>
      </c>
      <c r="H592">
        <f>'PSP Data'!H595</f>
        <v>0</v>
      </c>
      <c r="I592">
        <f>'PSP Data'!I595</f>
        <v>0</v>
      </c>
      <c r="J592" s="29" t="e">
        <f t="shared" si="40"/>
        <v>#N/A</v>
      </c>
      <c r="K592" s="29" t="e">
        <f>IF(AND((A592&lt;'PSP Data'!$C$11),(A592&lt;&gt;0)),Analysis!C592,#N/A)</f>
        <v>#N/A</v>
      </c>
      <c r="L592" t="e">
        <f>IF(VLOOKUP(B592,Table1[],4)=0,"unknown", VLOOKUP(B592,Table1[],4))</f>
        <v>#N/A</v>
      </c>
      <c r="M592">
        <v>1</v>
      </c>
      <c r="N592" t="e">
        <f t="shared" si="41"/>
        <v>#N/A</v>
      </c>
      <c r="O592" t="str">
        <f t="shared" si="42"/>
        <v/>
      </c>
      <c r="P592" t="str">
        <f t="shared" si="43"/>
        <v/>
      </c>
      <c r="Q592" t="str">
        <f t="shared" si="44"/>
        <v/>
      </c>
      <c r="R592">
        <v>1</v>
      </c>
    </row>
    <row r="593" spans="1:18">
      <c r="A593">
        <f>'PSP Data'!A596</f>
        <v>0</v>
      </c>
      <c r="B593" t="str">
        <f>IF('PSP Data'!B596=0,"",'PSP Data'!B596)</f>
        <v/>
      </c>
      <c r="C593">
        <f>'PSP Data'!C596</f>
        <v>0</v>
      </c>
      <c r="D593">
        <f>'PSP Data'!D596</f>
        <v>0</v>
      </c>
      <c r="E593">
        <f>'PSP Data'!E596</f>
        <v>0</v>
      </c>
      <c r="F593">
        <f>'PSP Data'!F596</f>
        <v>0</v>
      </c>
      <c r="G593">
        <f>'PSP Data'!G596</f>
        <v>0</v>
      </c>
      <c r="H593">
        <f>'PSP Data'!H596</f>
        <v>0</v>
      </c>
      <c r="I593">
        <f>'PSP Data'!I596</f>
        <v>0</v>
      </c>
      <c r="J593" s="29" t="e">
        <f t="shared" si="40"/>
        <v>#N/A</v>
      </c>
      <c r="K593" s="29" t="e">
        <f>IF(AND((A593&lt;'PSP Data'!$C$11),(A593&lt;&gt;0)),Analysis!C593,#N/A)</f>
        <v>#N/A</v>
      </c>
      <c r="L593" t="e">
        <f>IF(VLOOKUP(B593,Table1[],4)=0,"unknown", VLOOKUP(B593,Table1[],4))</f>
        <v>#N/A</v>
      </c>
      <c r="M593">
        <v>1</v>
      </c>
      <c r="N593" t="e">
        <f t="shared" si="41"/>
        <v>#N/A</v>
      </c>
      <c r="O593" t="str">
        <f t="shared" si="42"/>
        <v/>
      </c>
      <c r="P593" t="str">
        <f t="shared" si="43"/>
        <v/>
      </c>
      <c r="Q593" t="str">
        <f t="shared" si="44"/>
        <v/>
      </c>
      <c r="R593">
        <v>1</v>
      </c>
    </row>
    <row r="594" spans="1:18">
      <c r="A594">
        <f>'PSP Data'!A597</f>
        <v>0</v>
      </c>
      <c r="B594" t="str">
        <f>IF('PSP Data'!B597=0,"",'PSP Data'!B597)</f>
        <v/>
      </c>
      <c r="C594">
        <f>'PSP Data'!C597</f>
        <v>0</v>
      </c>
      <c r="D594">
        <f>'PSP Data'!D597</f>
        <v>0</v>
      </c>
      <c r="E594">
        <f>'PSP Data'!E597</f>
        <v>0</v>
      </c>
      <c r="F594">
        <f>'PSP Data'!F597</f>
        <v>0</v>
      </c>
      <c r="G594">
        <f>'PSP Data'!G597</f>
        <v>0</v>
      </c>
      <c r="H594">
        <f>'PSP Data'!H597</f>
        <v>0</v>
      </c>
      <c r="I594">
        <f>'PSP Data'!I597</f>
        <v>0</v>
      </c>
      <c r="J594" s="29" t="e">
        <f t="shared" si="40"/>
        <v>#N/A</v>
      </c>
      <c r="K594" s="29" t="e">
        <f>IF(AND((A594&lt;'PSP Data'!$C$11),(A594&lt;&gt;0)),Analysis!C594,#N/A)</f>
        <v>#N/A</v>
      </c>
      <c r="L594" t="e">
        <f>IF(VLOOKUP(B594,Table1[],4)=0,"unknown", VLOOKUP(B594,Table1[],4))</f>
        <v>#N/A</v>
      </c>
      <c r="M594">
        <v>1</v>
      </c>
      <c r="N594" t="e">
        <f t="shared" si="41"/>
        <v>#N/A</v>
      </c>
      <c r="O594" t="str">
        <f t="shared" si="42"/>
        <v/>
      </c>
      <c r="P594" t="str">
        <f t="shared" si="43"/>
        <v/>
      </c>
      <c r="Q594" t="str">
        <f t="shared" si="44"/>
        <v/>
      </c>
      <c r="R594">
        <v>1</v>
      </c>
    </row>
    <row r="595" spans="1:18">
      <c r="A595">
        <f>'PSP Data'!A598</f>
        <v>0</v>
      </c>
      <c r="B595" t="str">
        <f>IF('PSP Data'!B598=0,"",'PSP Data'!B598)</f>
        <v/>
      </c>
      <c r="C595">
        <f>'PSP Data'!C598</f>
        <v>0</v>
      </c>
      <c r="D595">
        <f>'PSP Data'!D598</f>
        <v>0</v>
      </c>
      <c r="E595">
        <f>'PSP Data'!E598</f>
        <v>0</v>
      </c>
      <c r="F595">
        <f>'PSP Data'!F598</f>
        <v>0</v>
      </c>
      <c r="G595">
        <f>'PSP Data'!G598</f>
        <v>0</v>
      </c>
      <c r="H595">
        <f>'PSP Data'!H598</f>
        <v>0</v>
      </c>
      <c r="I595">
        <f>'PSP Data'!I598</f>
        <v>0</v>
      </c>
      <c r="J595" s="29" t="e">
        <f t="shared" si="40"/>
        <v>#N/A</v>
      </c>
      <c r="K595" s="29" t="e">
        <f>IF(AND((A595&lt;'PSP Data'!$C$11),(A595&lt;&gt;0)),Analysis!C595,#N/A)</f>
        <v>#N/A</v>
      </c>
      <c r="L595" t="e">
        <f>IF(VLOOKUP(B595,Table1[],4)=0,"unknown", VLOOKUP(B595,Table1[],4))</f>
        <v>#N/A</v>
      </c>
      <c r="M595">
        <v>1</v>
      </c>
      <c r="N595" t="e">
        <f t="shared" si="41"/>
        <v>#N/A</v>
      </c>
      <c r="O595" t="str">
        <f t="shared" si="42"/>
        <v/>
      </c>
      <c r="P595" t="str">
        <f t="shared" si="43"/>
        <v/>
      </c>
      <c r="Q595" t="str">
        <f t="shared" si="44"/>
        <v/>
      </c>
      <c r="R595">
        <v>1</v>
      </c>
    </row>
    <row r="596" spans="1:18">
      <c r="A596">
        <f>'PSP Data'!A599</f>
        <v>0</v>
      </c>
      <c r="B596" t="str">
        <f>IF('PSP Data'!B599=0,"",'PSP Data'!B599)</f>
        <v/>
      </c>
      <c r="C596">
        <f>'PSP Data'!C599</f>
        <v>0</v>
      </c>
      <c r="D596">
        <f>'PSP Data'!D599</f>
        <v>0</v>
      </c>
      <c r="E596">
        <f>'PSP Data'!E599</f>
        <v>0</v>
      </c>
      <c r="F596">
        <f>'PSP Data'!F599</f>
        <v>0</v>
      </c>
      <c r="G596">
        <f>'PSP Data'!G599</f>
        <v>0</v>
      </c>
      <c r="H596">
        <f>'PSP Data'!H599</f>
        <v>0</v>
      </c>
      <c r="I596">
        <f>'PSP Data'!I599</f>
        <v>0</v>
      </c>
      <c r="J596" s="29" t="e">
        <f t="shared" si="40"/>
        <v>#N/A</v>
      </c>
      <c r="K596" s="29" t="e">
        <f>IF(AND((A596&lt;'PSP Data'!$C$11),(A596&lt;&gt;0)),Analysis!C596,#N/A)</f>
        <v>#N/A</v>
      </c>
      <c r="L596" t="e">
        <f>IF(VLOOKUP(B596,Table1[],4)=0,"unknown", VLOOKUP(B596,Table1[],4))</f>
        <v>#N/A</v>
      </c>
      <c r="M596">
        <v>1</v>
      </c>
      <c r="N596" t="e">
        <f t="shared" si="41"/>
        <v>#N/A</v>
      </c>
      <c r="O596" t="str">
        <f t="shared" si="42"/>
        <v/>
      </c>
      <c r="P596" t="str">
        <f t="shared" si="43"/>
        <v/>
      </c>
      <c r="Q596" t="str">
        <f t="shared" si="44"/>
        <v/>
      </c>
      <c r="R596">
        <v>1</v>
      </c>
    </row>
    <row r="597" spans="1:18">
      <c r="A597">
        <f>'PSP Data'!A600</f>
        <v>0</v>
      </c>
      <c r="B597" t="str">
        <f>IF('PSP Data'!B600=0,"",'PSP Data'!B600)</f>
        <v/>
      </c>
      <c r="C597">
        <f>'PSP Data'!C600</f>
        <v>0</v>
      </c>
      <c r="D597">
        <f>'PSP Data'!D600</f>
        <v>0</v>
      </c>
      <c r="E597">
        <f>'PSP Data'!E600</f>
        <v>0</v>
      </c>
      <c r="F597">
        <f>'PSP Data'!F600</f>
        <v>0</v>
      </c>
      <c r="G597">
        <f>'PSP Data'!G600</f>
        <v>0</v>
      </c>
      <c r="H597">
        <f>'PSP Data'!H600</f>
        <v>0</v>
      </c>
      <c r="I597">
        <f>'PSP Data'!I600</f>
        <v>0</v>
      </c>
      <c r="J597" s="29" t="e">
        <f t="shared" si="40"/>
        <v>#N/A</v>
      </c>
      <c r="K597" s="29" t="e">
        <f>IF(AND((A597&lt;'PSP Data'!$C$11),(A597&lt;&gt;0)),Analysis!C597,#N/A)</f>
        <v>#N/A</v>
      </c>
      <c r="L597" t="e">
        <f>IF(VLOOKUP(B597,Table1[],4)=0,"unknown", VLOOKUP(B597,Table1[],4))</f>
        <v>#N/A</v>
      </c>
      <c r="M597">
        <v>1</v>
      </c>
      <c r="N597" t="e">
        <f t="shared" si="41"/>
        <v>#N/A</v>
      </c>
      <c r="O597" t="str">
        <f t="shared" si="42"/>
        <v/>
      </c>
      <c r="P597" t="str">
        <f t="shared" si="43"/>
        <v/>
      </c>
      <c r="Q597" t="str">
        <f t="shared" si="44"/>
        <v/>
      </c>
      <c r="R597">
        <v>1</v>
      </c>
    </row>
    <row r="598" spans="1:18">
      <c r="A598">
        <f>'PSP Data'!A601</f>
        <v>0</v>
      </c>
      <c r="B598" t="str">
        <f>IF('PSP Data'!B601=0,"",'PSP Data'!B601)</f>
        <v/>
      </c>
      <c r="C598">
        <f>'PSP Data'!C601</f>
        <v>0</v>
      </c>
      <c r="D598">
        <f>'PSP Data'!D601</f>
        <v>0</v>
      </c>
      <c r="E598">
        <f>'PSP Data'!E601</f>
        <v>0</v>
      </c>
      <c r="F598">
        <f>'PSP Data'!F601</f>
        <v>0</v>
      </c>
      <c r="G598">
        <f>'PSP Data'!G601</f>
        <v>0</v>
      </c>
      <c r="H598">
        <f>'PSP Data'!H601</f>
        <v>0</v>
      </c>
      <c r="I598">
        <f>'PSP Data'!I601</f>
        <v>0</v>
      </c>
      <c r="J598" s="29" t="e">
        <f t="shared" ref="J598:J661" si="45">IF(C598&gt;=25,C598,#N/A)</f>
        <v>#N/A</v>
      </c>
      <c r="K598" s="29" t="e">
        <f>IF(AND((A598&lt;'PSP Data'!$C$11),(A598&lt;&gt;0)),Analysis!C598,#N/A)</f>
        <v>#N/A</v>
      </c>
      <c r="L598" t="e">
        <f>IF(VLOOKUP(B598,Table1[],4)=0,"unknown", VLOOKUP(B598,Table1[],4))</f>
        <v>#N/A</v>
      </c>
      <c r="M598">
        <v>1</v>
      </c>
      <c r="N598" t="e">
        <f t="shared" ref="N598:N661" si="46">IF(L598="timber",B598,"")</f>
        <v>#N/A</v>
      </c>
      <c r="O598" t="str">
        <f t="shared" ref="O598:O661" si="47">IF(D598="y",B598,"")</f>
        <v/>
      </c>
      <c r="P598" t="str">
        <f t="shared" ref="P598:P661" si="48">IF(F598="y",B598,"")</f>
        <v/>
      </c>
      <c r="Q598" t="str">
        <f t="shared" ref="Q598:Q661" si="49">IF(B598="","",ISNUMBER(FIND("Dead wood",B598:B1477)))</f>
        <v/>
      </c>
      <c r="R598">
        <v>1</v>
      </c>
    </row>
    <row r="599" spans="1:18">
      <c r="A599">
        <f>'PSP Data'!A602</f>
        <v>0</v>
      </c>
      <c r="B599" t="str">
        <f>IF('PSP Data'!B602=0,"",'PSP Data'!B602)</f>
        <v/>
      </c>
      <c r="C599">
        <f>'PSP Data'!C602</f>
        <v>0</v>
      </c>
      <c r="D599">
        <f>'PSP Data'!D602</f>
        <v>0</v>
      </c>
      <c r="E599">
        <f>'PSP Data'!E602</f>
        <v>0</v>
      </c>
      <c r="F599">
        <f>'PSP Data'!F602</f>
        <v>0</v>
      </c>
      <c r="G599">
        <f>'PSP Data'!G602</f>
        <v>0</v>
      </c>
      <c r="H599">
        <f>'PSP Data'!H602</f>
        <v>0</v>
      </c>
      <c r="I599">
        <f>'PSP Data'!I602</f>
        <v>0</v>
      </c>
      <c r="J599" s="29" t="e">
        <f t="shared" si="45"/>
        <v>#N/A</v>
      </c>
      <c r="K599" s="29" t="e">
        <f>IF(AND((A599&lt;'PSP Data'!$C$11),(A599&lt;&gt;0)),Analysis!C599,#N/A)</f>
        <v>#N/A</v>
      </c>
      <c r="L599" t="e">
        <f>IF(VLOOKUP(B599,Table1[],4)=0,"unknown", VLOOKUP(B599,Table1[],4))</f>
        <v>#N/A</v>
      </c>
      <c r="M599">
        <v>1</v>
      </c>
      <c r="N599" t="e">
        <f t="shared" si="46"/>
        <v>#N/A</v>
      </c>
      <c r="O599" t="str">
        <f t="shared" si="47"/>
        <v/>
      </c>
      <c r="P599" t="str">
        <f t="shared" si="48"/>
        <v/>
      </c>
      <c r="Q599" t="str">
        <f t="shared" si="49"/>
        <v/>
      </c>
      <c r="R599">
        <v>1</v>
      </c>
    </row>
    <row r="600" spans="1:18">
      <c r="A600">
        <f>'PSP Data'!A603</f>
        <v>0</v>
      </c>
      <c r="B600" t="str">
        <f>IF('PSP Data'!B603=0,"",'PSP Data'!B603)</f>
        <v/>
      </c>
      <c r="C600">
        <f>'PSP Data'!C603</f>
        <v>0</v>
      </c>
      <c r="D600">
        <f>'PSP Data'!D603</f>
        <v>0</v>
      </c>
      <c r="E600">
        <f>'PSP Data'!E603</f>
        <v>0</v>
      </c>
      <c r="F600">
        <f>'PSP Data'!F603</f>
        <v>0</v>
      </c>
      <c r="G600">
        <f>'PSP Data'!G603</f>
        <v>0</v>
      </c>
      <c r="H600">
        <f>'PSP Data'!H603</f>
        <v>0</v>
      </c>
      <c r="I600">
        <f>'PSP Data'!I603</f>
        <v>0</v>
      </c>
      <c r="J600" s="29" t="e">
        <f t="shared" si="45"/>
        <v>#N/A</v>
      </c>
      <c r="K600" s="29" t="e">
        <f>IF(AND((A600&lt;'PSP Data'!$C$11),(A600&lt;&gt;0)),Analysis!C600,#N/A)</f>
        <v>#N/A</v>
      </c>
      <c r="L600" t="e">
        <f>IF(VLOOKUP(B600,Table1[],4)=0,"unknown", VLOOKUP(B600,Table1[],4))</f>
        <v>#N/A</v>
      </c>
      <c r="M600">
        <v>1</v>
      </c>
      <c r="N600" t="e">
        <f t="shared" si="46"/>
        <v>#N/A</v>
      </c>
      <c r="O600" t="str">
        <f t="shared" si="47"/>
        <v/>
      </c>
      <c r="P600" t="str">
        <f t="shared" si="48"/>
        <v/>
      </c>
      <c r="Q600" t="str">
        <f t="shared" si="49"/>
        <v/>
      </c>
      <c r="R600">
        <v>1</v>
      </c>
    </row>
    <row r="601" spans="1:18">
      <c r="A601">
        <f>'PSP Data'!A604</f>
        <v>0</v>
      </c>
      <c r="B601" t="str">
        <f>IF('PSP Data'!B604=0,"",'PSP Data'!B604)</f>
        <v/>
      </c>
      <c r="C601">
        <f>'PSP Data'!C604</f>
        <v>0</v>
      </c>
      <c r="D601">
        <f>'PSP Data'!D604</f>
        <v>0</v>
      </c>
      <c r="E601">
        <f>'PSP Data'!E604</f>
        <v>0</v>
      </c>
      <c r="F601">
        <f>'PSP Data'!F604</f>
        <v>0</v>
      </c>
      <c r="G601">
        <f>'PSP Data'!G604</f>
        <v>0</v>
      </c>
      <c r="H601">
        <f>'PSP Data'!H604</f>
        <v>0</v>
      </c>
      <c r="I601">
        <f>'PSP Data'!I604</f>
        <v>0</v>
      </c>
      <c r="J601" s="29" t="e">
        <f t="shared" si="45"/>
        <v>#N/A</v>
      </c>
      <c r="K601" s="29" t="e">
        <f>IF(AND((A601&lt;'PSP Data'!$C$11),(A601&lt;&gt;0)),Analysis!C601,#N/A)</f>
        <v>#N/A</v>
      </c>
      <c r="L601" t="e">
        <f>IF(VLOOKUP(B601,Table1[],4)=0,"unknown", VLOOKUP(B601,Table1[],4))</f>
        <v>#N/A</v>
      </c>
      <c r="M601">
        <v>1</v>
      </c>
      <c r="N601" t="e">
        <f t="shared" si="46"/>
        <v>#N/A</v>
      </c>
      <c r="O601" t="str">
        <f t="shared" si="47"/>
        <v/>
      </c>
      <c r="P601" t="str">
        <f t="shared" si="48"/>
        <v/>
      </c>
      <c r="Q601" t="str">
        <f t="shared" si="49"/>
        <v/>
      </c>
      <c r="R601">
        <v>1</v>
      </c>
    </row>
    <row r="602" spans="1:18">
      <c r="A602">
        <f>'PSP Data'!A605</f>
        <v>0</v>
      </c>
      <c r="B602" t="str">
        <f>IF('PSP Data'!B605=0,"",'PSP Data'!B605)</f>
        <v/>
      </c>
      <c r="C602">
        <f>'PSP Data'!C605</f>
        <v>0</v>
      </c>
      <c r="D602">
        <f>'PSP Data'!D605</f>
        <v>0</v>
      </c>
      <c r="E602">
        <f>'PSP Data'!E605</f>
        <v>0</v>
      </c>
      <c r="F602">
        <f>'PSP Data'!F605</f>
        <v>0</v>
      </c>
      <c r="G602">
        <f>'PSP Data'!G605</f>
        <v>0</v>
      </c>
      <c r="H602">
        <f>'PSP Data'!H605</f>
        <v>0</v>
      </c>
      <c r="I602">
        <f>'PSP Data'!I605</f>
        <v>0</v>
      </c>
      <c r="J602" s="29" t="e">
        <f t="shared" si="45"/>
        <v>#N/A</v>
      </c>
      <c r="K602" s="29" t="e">
        <f>IF(AND((A602&lt;'PSP Data'!$C$11),(A602&lt;&gt;0)),Analysis!C602,#N/A)</f>
        <v>#N/A</v>
      </c>
      <c r="L602" t="e">
        <f>IF(VLOOKUP(B602,Table1[],4)=0,"unknown", VLOOKUP(B602,Table1[],4))</f>
        <v>#N/A</v>
      </c>
      <c r="M602">
        <v>1</v>
      </c>
      <c r="N602" t="e">
        <f t="shared" si="46"/>
        <v>#N/A</v>
      </c>
      <c r="O602" t="str">
        <f t="shared" si="47"/>
        <v/>
      </c>
      <c r="P602" t="str">
        <f t="shared" si="48"/>
        <v/>
      </c>
      <c r="Q602" t="str">
        <f t="shared" si="49"/>
        <v/>
      </c>
      <c r="R602">
        <v>1</v>
      </c>
    </row>
    <row r="603" spans="1:18">
      <c r="A603">
        <f>'PSP Data'!A606</f>
        <v>0</v>
      </c>
      <c r="B603" t="str">
        <f>IF('PSP Data'!B606=0,"",'PSP Data'!B606)</f>
        <v/>
      </c>
      <c r="C603">
        <f>'PSP Data'!C606</f>
        <v>0</v>
      </c>
      <c r="D603">
        <f>'PSP Data'!D606</f>
        <v>0</v>
      </c>
      <c r="E603">
        <f>'PSP Data'!E606</f>
        <v>0</v>
      </c>
      <c r="F603">
        <f>'PSP Data'!F606</f>
        <v>0</v>
      </c>
      <c r="G603">
        <f>'PSP Data'!G606</f>
        <v>0</v>
      </c>
      <c r="H603">
        <f>'PSP Data'!H606</f>
        <v>0</v>
      </c>
      <c r="I603">
        <f>'PSP Data'!I606</f>
        <v>0</v>
      </c>
      <c r="J603" s="29" t="e">
        <f t="shared" si="45"/>
        <v>#N/A</v>
      </c>
      <c r="K603" s="29" t="e">
        <f>IF(AND((A603&lt;'PSP Data'!$C$11),(A603&lt;&gt;0)),Analysis!C603,#N/A)</f>
        <v>#N/A</v>
      </c>
      <c r="L603" t="e">
        <f>IF(VLOOKUP(B603,Table1[],4)=0,"unknown", VLOOKUP(B603,Table1[],4))</f>
        <v>#N/A</v>
      </c>
      <c r="M603">
        <v>1</v>
      </c>
      <c r="N603" t="e">
        <f t="shared" si="46"/>
        <v>#N/A</v>
      </c>
      <c r="O603" t="str">
        <f t="shared" si="47"/>
        <v/>
      </c>
      <c r="P603" t="str">
        <f t="shared" si="48"/>
        <v/>
      </c>
      <c r="Q603" t="str">
        <f t="shared" si="49"/>
        <v/>
      </c>
      <c r="R603">
        <v>1</v>
      </c>
    </row>
    <row r="604" spans="1:18">
      <c r="A604">
        <f>'PSP Data'!A607</f>
        <v>0</v>
      </c>
      <c r="B604" t="str">
        <f>IF('PSP Data'!B607=0,"",'PSP Data'!B607)</f>
        <v/>
      </c>
      <c r="C604">
        <f>'PSP Data'!C607</f>
        <v>0</v>
      </c>
      <c r="D604">
        <f>'PSP Data'!D607</f>
        <v>0</v>
      </c>
      <c r="E604">
        <f>'PSP Data'!E607</f>
        <v>0</v>
      </c>
      <c r="F604">
        <f>'PSP Data'!F607</f>
        <v>0</v>
      </c>
      <c r="G604">
        <f>'PSP Data'!G607</f>
        <v>0</v>
      </c>
      <c r="H604">
        <f>'PSP Data'!H607</f>
        <v>0</v>
      </c>
      <c r="I604">
        <f>'PSP Data'!I607</f>
        <v>0</v>
      </c>
      <c r="J604" s="29" t="e">
        <f t="shared" si="45"/>
        <v>#N/A</v>
      </c>
      <c r="K604" s="29" t="e">
        <f>IF(AND((A604&lt;'PSP Data'!$C$11),(A604&lt;&gt;0)),Analysis!C604,#N/A)</f>
        <v>#N/A</v>
      </c>
      <c r="L604" t="e">
        <f>IF(VLOOKUP(B604,Table1[],4)=0,"unknown", VLOOKUP(B604,Table1[],4))</f>
        <v>#N/A</v>
      </c>
      <c r="M604">
        <v>1</v>
      </c>
      <c r="N604" t="e">
        <f t="shared" si="46"/>
        <v>#N/A</v>
      </c>
      <c r="O604" t="str">
        <f t="shared" si="47"/>
        <v/>
      </c>
      <c r="P604" t="str">
        <f t="shared" si="48"/>
        <v/>
      </c>
      <c r="Q604" t="str">
        <f t="shared" si="49"/>
        <v/>
      </c>
      <c r="R604">
        <v>1</v>
      </c>
    </row>
    <row r="605" spans="1:18">
      <c r="A605">
        <f>'PSP Data'!A608</f>
        <v>0</v>
      </c>
      <c r="B605" t="str">
        <f>IF('PSP Data'!B608=0,"",'PSP Data'!B608)</f>
        <v/>
      </c>
      <c r="C605">
        <f>'PSP Data'!C608</f>
        <v>0</v>
      </c>
      <c r="D605">
        <f>'PSP Data'!D608</f>
        <v>0</v>
      </c>
      <c r="E605">
        <f>'PSP Data'!E608</f>
        <v>0</v>
      </c>
      <c r="F605">
        <f>'PSP Data'!F608</f>
        <v>0</v>
      </c>
      <c r="G605">
        <f>'PSP Data'!G608</f>
        <v>0</v>
      </c>
      <c r="H605">
        <f>'PSP Data'!H608</f>
        <v>0</v>
      </c>
      <c r="I605">
        <f>'PSP Data'!I608</f>
        <v>0</v>
      </c>
      <c r="J605" s="29" t="e">
        <f t="shared" si="45"/>
        <v>#N/A</v>
      </c>
      <c r="K605" s="29" t="e">
        <f>IF(AND((A605&lt;'PSP Data'!$C$11),(A605&lt;&gt;0)),Analysis!C605,#N/A)</f>
        <v>#N/A</v>
      </c>
      <c r="L605" t="e">
        <f>IF(VLOOKUP(B605,Table1[],4)=0,"unknown", VLOOKUP(B605,Table1[],4))</f>
        <v>#N/A</v>
      </c>
      <c r="M605">
        <v>1</v>
      </c>
      <c r="N605" t="e">
        <f t="shared" si="46"/>
        <v>#N/A</v>
      </c>
      <c r="O605" t="str">
        <f t="shared" si="47"/>
        <v/>
      </c>
      <c r="P605" t="str">
        <f t="shared" si="48"/>
        <v/>
      </c>
      <c r="Q605" t="str">
        <f t="shared" si="49"/>
        <v/>
      </c>
      <c r="R605">
        <v>1</v>
      </c>
    </row>
    <row r="606" spans="1:18">
      <c r="A606">
        <f>'PSP Data'!A609</f>
        <v>0</v>
      </c>
      <c r="B606" t="str">
        <f>IF('PSP Data'!B609=0,"",'PSP Data'!B609)</f>
        <v/>
      </c>
      <c r="C606">
        <f>'PSP Data'!C609</f>
        <v>0</v>
      </c>
      <c r="D606">
        <f>'PSP Data'!D609</f>
        <v>0</v>
      </c>
      <c r="E606">
        <f>'PSP Data'!E609</f>
        <v>0</v>
      </c>
      <c r="F606">
        <f>'PSP Data'!F609</f>
        <v>0</v>
      </c>
      <c r="G606">
        <f>'PSP Data'!G609</f>
        <v>0</v>
      </c>
      <c r="H606">
        <f>'PSP Data'!H609</f>
        <v>0</v>
      </c>
      <c r="I606">
        <f>'PSP Data'!I609</f>
        <v>0</v>
      </c>
      <c r="J606" s="29" t="e">
        <f t="shared" si="45"/>
        <v>#N/A</v>
      </c>
      <c r="K606" s="29" t="e">
        <f>IF(AND((A606&lt;'PSP Data'!$C$11),(A606&lt;&gt;0)),Analysis!C606,#N/A)</f>
        <v>#N/A</v>
      </c>
      <c r="L606" t="e">
        <f>IF(VLOOKUP(B606,Table1[],4)=0,"unknown", VLOOKUP(B606,Table1[],4))</f>
        <v>#N/A</v>
      </c>
      <c r="M606">
        <v>1</v>
      </c>
      <c r="N606" t="e">
        <f t="shared" si="46"/>
        <v>#N/A</v>
      </c>
      <c r="O606" t="str">
        <f t="shared" si="47"/>
        <v/>
      </c>
      <c r="P606" t="str">
        <f t="shared" si="48"/>
        <v/>
      </c>
      <c r="Q606" t="str">
        <f t="shared" si="49"/>
        <v/>
      </c>
      <c r="R606">
        <v>1</v>
      </c>
    </row>
    <row r="607" spans="1:18">
      <c r="A607">
        <f>'PSP Data'!A610</f>
        <v>0</v>
      </c>
      <c r="B607" t="str">
        <f>IF('PSP Data'!B610=0,"",'PSP Data'!B610)</f>
        <v/>
      </c>
      <c r="C607">
        <f>'PSP Data'!C610</f>
        <v>0</v>
      </c>
      <c r="D607">
        <f>'PSP Data'!D610</f>
        <v>0</v>
      </c>
      <c r="E607">
        <f>'PSP Data'!E610</f>
        <v>0</v>
      </c>
      <c r="F607">
        <f>'PSP Data'!F610</f>
        <v>0</v>
      </c>
      <c r="G607">
        <f>'PSP Data'!G610</f>
        <v>0</v>
      </c>
      <c r="H607">
        <f>'PSP Data'!H610</f>
        <v>0</v>
      </c>
      <c r="I607">
        <f>'PSP Data'!I610</f>
        <v>0</v>
      </c>
      <c r="J607" s="29" t="e">
        <f t="shared" si="45"/>
        <v>#N/A</v>
      </c>
      <c r="K607" s="29" t="e">
        <f>IF(AND((A607&lt;'PSP Data'!$C$11),(A607&lt;&gt;0)),Analysis!C607,#N/A)</f>
        <v>#N/A</v>
      </c>
      <c r="L607" t="e">
        <f>IF(VLOOKUP(B607,Table1[],4)=0,"unknown", VLOOKUP(B607,Table1[],4))</f>
        <v>#N/A</v>
      </c>
      <c r="M607">
        <v>1</v>
      </c>
      <c r="N607" t="e">
        <f t="shared" si="46"/>
        <v>#N/A</v>
      </c>
      <c r="O607" t="str">
        <f t="shared" si="47"/>
        <v/>
      </c>
      <c r="P607" t="str">
        <f t="shared" si="48"/>
        <v/>
      </c>
      <c r="Q607" t="str">
        <f t="shared" si="49"/>
        <v/>
      </c>
      <c r="R607">
        <v>1</v>
      </c>
    </row>
    <row r="608" spans="1:18">
      <c r="A608">
        <f>'PSP Data'!A611</f>
        <v>0</v>
      </c>
      <c r="B608" t="str">
        <f>IF('PSP Data'!B611=0,"",'PSP Data'!B611)</f>
        <v/>
      </c>
      <c r="C608">
        <f>'PSP Data'!C611</f>
        <v>0</v>
      </c>
      <c r="D608">
        <f>'PSP Data'!D611</f>
        <v>0</v>
      </c>
      <c r="E608">
        <f>'PSP Data'!E611</f>
        <v>0</v>
      </c>
      <c r="F608">
        <f>'PSP Data'!F611</f>
        <v>0</v>
      </c>
      <c r="G608">
        <f>'PSP Data'!G611</f>
        <v>0</v>
      </c>
      <c r="H608">
        <f>'PSP Data'!H611</f>
        <v>0</v>
      </c>
      <c r="I608">
        <f>'PSP Data'!I611</f>
        <v>0</v>
      </c>
      <c r="J608" s="29" t="e">
        <f t="shared" si="45"/>
        <v>#N/A</v>
      </c>
      <c r="K608" s="29" t="e">
        <f>IF(AND((A608&lt;'PSP Data'!$C$11),(A608&lt;&gt;0)),Analysis!C608,#N/A)</f>
        <v>#N/A</v>
      </c>
      <c r="L608" t="e">
        <f>IF(VLOOKUP(B608,Table1[],4)=0,"unknown", VLOOKUP(B608,Table1[],4))</f>
        <v>#N/A</v>
      </c>
      <c r="M608">
        <v>1</v>
      </c>
      <c r="N608" t="e">
        <f t="shared" si="46"/>
        <v>#N/A</v>
      </c>
      <c r="O608" t="str">
        <f t="shared" si="47"/>
        <v/>
      </c>
      <c r="P608" t="str">
        <f t="shared" si="48"/>
        <v/>
      </c>
      <c r="Q608" t="str">
        <f t="shared" si="49"/>
        <v/>
      </c>
      <c r="R608">
        <v>1</v>
      </c>
    </row>
    <row r="609" spans="1:18">
      <c r="A609">
        <f>'PSP Data'!A612</f>
        <v>0</v>
      </c>
      <c r="B609" t="str">
        <f>IF('PSP Data'!B612=0,"",'PSP Data'!B612)</f>
        <v/>
      </c>
      <c r="C609">
        <f>'PSP Data'!C612</f>
        <v>0</v>
      </c>
      <c r="D609">
        <f>'PSP Data'!D612</f>
        <v>0</v>
      </c>
      <c r="E609">
        <f>'PSP Data'!E612</f>
        <v>0</v>
      </c>
      <c r="F609">
        <f>'PSP Data'!F612</f>
        <v>0</v>
      </c>
      <c r="G609">
        <f>'PSP Data'!G612</f>
        <v>0</v>
      </c>
      <c r="H609">
        <f>'PSP Data'!H612</f>
        <v>0</v>
      </c>
      <c r="I609">
        <f>'PSP Data'!I612</f>
        <v>0</v>
      </c>
      <c r="J609" s="29" t="e">
        <f t="shared" si="45"/>
        <v>#N/A</v>
      </c>
      <c r="K609" s="29" t="e">
        <f>IF(AND((A609&lt;'PSP Data'!$C$11),(A609&lt;&gt;0)),Analysis!C609,#N/A)</f>
        <v>#N/A</v>
      </c>
      <c r="L609" t="e">
        <f>IF(VLOOKUP(B609,Table1[],4)=0,"unknown", VLOOKUP(B609,Table1[],4))</f>
        <v>#N/A</v>
      </c>
      <c r="M609">
        <v>1</v>
      </c>
      <c r="N609" t="e">
        <f t="shared" si="46"/>
        <v>#N/A</v>
      </c>
      <c r="O609" t="str">
        <f t="shared" si="47"/>
        <v/>
      </c>
      <c r="P609" t="str">
        <f t="shared" si="48"/>
        <v/>
      </c>
      <c r="Q609" t="str">
        <f t="shared" si="49"/>
        <v/>
      </c>
      <c r="R609">
        <v>1</v>
      </c>
    </row>
    <row r="610" spans="1:18">
      <c r="A610">
        <f>'PSP Data'!A613</f>
        <v>0</v>
      </c>
      <c r="B610" t="str">
        <f>IF('PSP Data'!B613=0,"",'PSP Data'!B613)</f>
        <v/>
      </c>
      <c r="C610">
        <f>'PSP Data'!C613</f>
        <v>0</v>
      </c>
      <c r="D610">
        <f>'PSP Data'!D613</f>
        <v>0</v>
      </c>
      <c r="E610">
        <f>'PSP Data'!E613</f>
        <v>0</v>
      </c>
      <c r="F610">
        <f>'PSP Data'!F613</f>
        <v>0</v>
      </c>
      <c r="G610">
        <f>'PSP Data'!G613</f>
        <v>0</v>
      </c>
      <c r="H610">
        <f>'PSP Data'!H613</f>
        <v>0</v>
      </c>
      <c r="I610">
        <f>'PSP Data'!I613</f>
        <v>0</v>
      </c>
      <c r="J610" s="29" t="e">
        <f t="shared" si="45"/>
        <v>#N/A</v>
      </c>
      <c r="K610" s="29" t="e">
        <f>IF(AND((A610&lt;'PSP Data'!$C$11),(A610&lt;&gt;0)),Analysis!C610,#N/A)</f>
        <v>#N/A</v>
      </c>
      <c r="L610" t="e">
        <f>IF(VLOOKUP(B610,Table1[],4)=0,"unknown", VLOOKUP(B610,Table1[],4))</f>
        <v>#N/A</v>
      </c>
      <c r="M610">
        <v>1</v>
      </c>
      <c r="N610" t="e">
        <f t="shared" si="46"/>
        <v>#N/A</v>
      </c>
      <c r="O610" t="str">
        <f t="shared" si="47"/>
        <v/>
      </c>
      <c r="P610" t="str">
        <f t="shared" si="48"/>
        <v/>
      </c>
      <c r="Q610" t="str">
        <f t="shared" si="49"/>
        <v/>
      </c>
      <c r="R610">
        <v>1</v>
      </c>
    </row>
    <row r="611" spans="1:18">
      <c r="A611">
        <f>'PSP Data'!A614</f>
        <v>0</v>
      </c>
      <c r="B611" t="str">
        <f>IF('PSP Data'!B614=0,"",'PSP Data'!B614)</f>
        <v/>
      </c>
      <c r="C611">
        <f>'PSP Data'!C614</f>
        <v>0</v>
      </c>
      <c r="D611">
        <f>'PSP Data'!D614</f>
        <v>0</v>
      </c>
      <c r="E611">
        <f>'PSP Data'!E614</f>
        <v>0</v>
      </c>
      <c r="F611">
        <f>'PSP Data'!F614</f>
        <v>0</v>
      </c>
      <c r="G611">
        <f>'PSP Data'!G614</f>
        <v>0</v>
      </c>
      <c r="H611">
        <f>'PSP Data'!H614</f>
        <v>0</v>
      </c>
      <c r="I611">
        <f>'PSP Data'!I614</f>
        <v>0</v>
      </c>
      <c r="J611" s="29" t="e">
        <f t="shared" si="45"/>
        <v>#N/A</v>
      </c>
      <c r="K611" s="29" t="e">
        <f>IF(AND((A611&lt;'PSP Data'!$C$11),(A611&lt;&gt;0)),Analysis!C611,#N/A)</f>
        <v>#N/A</v>
      </c>
      <c r="L611" t="e">
        <f>IF(VLOOKUP(B611,Table1[],4)=0,"unknown", VLOOKUP(B611,Table1[],4))</f>
        <v>#N/A</v>
      </c>
      <c r="M611">
        <v>1</v>
      </c>
      <c r="N611" t="e">
        <f t="shared" si="46"/>
        <v>#N/A</v>
      </c>
      <c r="O611" t="str">
        <f t="shared" si="47"/>
        <v/>
      </c>
      <c r="P611" t="str">
        <f t="shared" si="48"/>
        <v/>
      </c>
      <c r="Q611" t="str">
        <f t="shared" si="49"/>
        <v/>
      </c>
      <c r="R611">
        <v>1</v>
      </c>
    </row>
    <row r="612" spans="1:18">
      <c r="A612">
        <f>'PSP Data'!A615</f>
        <v>0</v>
      </c>
      <c r="B612" t="str">
        <f>IF('PSP Data'!B615=0,"",'PSP Data'!B615)</f>
        <v/>
      </c>
      <c r="C612">
        <f>'PSP Data'!C615</f>
        <v>0</v>
      </c>
      <c r="D612">
        <f>'PSP Data'!D615</f>
        <v>0</v>
      </c>
      <c r="E612">
        <f>'PSP Data'!E615</f>
        <v>0</v>
      </c>
      <c r="F612">
        <f>'PSP Data'!F615</f>
        <v>0</v>
      </c>
      <c r="G612">
        <f>'PSP Data'!G615</f>
        <v>0</v>
      </c>
      <c r="H612">
        <f>'PSP Data'!H615</f>
        <v>0</v>
      </c>
      <c r="I612">
        <f>'PSP Data'!I615</f>
        <v>0</v>
      </c>
      <c r="J612" s="29" t="e">
        <f t="shared" si="45"/>
        <v>#N/A</v>
      </c>
      <c r="K612" s="29" t="e">
        <f>IF(AND((A612&lt;'PSP Data'!$C$11),(A612&lt;&gt;0)),Analysis!C612,#N/A)</f>
        <v>#N/A</v>
      </c>
      <c r="L612" t="e">
        <f>IF(VLOOKUP(B612,Table1[],4)=0,"unknown", VLOOKUP(B612,Table1[],4))</f>
        <v>#N/A</v>
      </c>
      <c r="M612">
        <v>1</v>
      </c>
      <c r="N612" t="e">
        <f t="shared" si="46"/>
        <v>#N/A</v>
      </c>
      <c r="O612" t="str">
        <f t="shared" si="47"/>
        <v/>
      </c>
      <c r="P612" t="str">
        <f t="shared" si="48"/>
        <v/>
      </c>
      <c r="Q612" t="str">
        <f t="shared" si="49"/>
        <v/>
      </c>
      <c r="R612">
        <v>1</v>
      </c>
    </row>
    <row r="613" spans="1:18">
      <c r="A613">
        <f>'PSP Data'!A616</f>
        <v>0</v>
      </c>
      <c r="B613" t="str">
        <f>IF('PSP Data'!B616=0,"",'PSP Data'!B616)</f>
        <v/>
      </c>
      <c r="C613">
        <f>'PSP Data'!C616</f>
        <v>0</v>
      </c>
      <c r="D613">
        <f>'PSP Data'!D616</f>
        <v>0</v>
      </c>
      <c r="E613">
        <f>'PSP Data'!E616</f>
        <v>0</v>
      </c>
      <c r="F613">
        <f>'PSP Data'!F616</f>
        <v>0</v>
      </c>
      <c r="G613">
        <f>'PSP Data'!G616</f>
        <v>0</v>
      </c>
      <c r="H613">
        <f>'PSP Data'!H616</f>
        <v>0</v>
      </c>
      <c r="I613">
        <f>'PSP Data'!I616</f>
        <v>0</v>
      </c>
      <c r="J613" s="29" t="e">
        <f t="shared" si="45"/>
        <v>#N/A</v>
      </c>
      <c r="K613" s="29" t="e">
        <f>IF(AND((A613&lt;'PSP Data'!$C$11),(A613&lt;&gt;0)),Analysis!C613,#N/A)</f>
        <v>#N/A</v>
      </c>
      <c r="L613" t="e">
        <f>IF(VLOOKUP(B613,Table1[],4)=0,"unknown", VLOOKUP(B613,Table1[],4))</f>
        <v>#N/A</v>
      </c>
      <c r="M613">
        <v>1</v>
      </c>
      <c r="N613" t="e">
        <f t="shared" si="46"/>
        <v>#N/A</v>
      </c>
      <c r="O613" t="str">
        <f t="shared" si="47"/>
        <v/>
      </c>
      <c r="P613" t="str">
        <f t="shared" si="48"/>
        <v/>
      </c>
      <c r="Q613" t="str">
        <f t="shared" si="49"/>
        <v/>
      </c>
      <c r="R613">
        <v>1</v>
      </c>
    </row>
    <row r="614" spans="1:18">
      <c r="A614">
        <f>'PSP Data'!A617</f>
        <v>0</v>
      </c>
      <c r="B614" t="str">
        <f>IF('PSP Data'!B617=0,"",'PSP Data'!B617)</f>
        <v/>
      </c>
      <c r="C614">
        <f>'PSP Data'!C617</f>
        <v>0</v>
      </c>
      <c r="D614">
        <f>'PSP Data'!D617</f>
        <v>0</v>
      </c>
      <c r="E614">
        <f>'PSP Data'!E617</f>
        <v>0</v>
      </c>
      <c r="F614">
        <f>'PSP Data'!F617</f>
        <v>0</v>
      </c>
      <c r="G614">
        <f>'PSP Data'!G617</f>
        <v>0</v>
      </c>
      <c r="H614">
        <f>'PSP Data'!H617</f>
        <v>0</v>
      </c>
      <c r="I614">
        <f>'PSP Data'!I617</f>
        <v>0</v>
      </c>
      <c r="J614" s="29" t="e">
        <f t="shared" si="45"/>
        <v>#N/A</v>
      </c>
      <c r="K614" s="29" t="e">
        <f>IF(AND((A614&lt;'PSP Data'!$C$11),(A614&lt;&gt;0)),Analysis!C614,#N/A)</f>
        <v>#N/A</v>
      </c>
      <c r="L614" t="e">
        <f>IF(VLOOKUP(B614,Table1[],4)=0,"unknown", VLOOKUP(B614,Table1[],4))</f>
        <v>#N/A</v>
      </c>
      <c r="M614">
        <v>1</v>
      </c>
      <c r="N614" t="e">
        <f t="shared" si="46"/>
        <v>#N/A</v>
      </c>
      <c r="O614" t="str">
        <f t="shared" si="47"/>
        <v/>
      </c>
      <c r="P614" t="str">
        <f t="shared" si="48"/>
        <v/>
      </c>
      <c r="Q614" t="str">
        <f t="shared" si="49"/>
        <v/>
      </c>
      <c r="R614">
        <v>1</v>
      </c>
    </row>
    <row r="615" spans="1:18">
      <c r="A615">
        <f>'PSP Data'!A618</f>
        <v>0</v>
      </c>
      <c r="B615" t="str">
        <f>IF('PSP Data'!B618=0,"",'PSP Data'!B618)</f>
        <v/>
      </c>
      <c r="C615">
        <f>'PSP Data'!C618</f>
        <v>0</v>
      </c>
      <c r="D615">
        <f>'PSP Data'!D618</f>
        <v>0</v>
      </c>
      <c r="E615">
        <f>'PSP Data'!E618</f>
        <v>0</v>
      </c>
      <c r="F615">
        <f>'PSP Data'!F618</f>
        <v>0</v>
      </c>
      <c r="G615">
        <f>'PSP Data'!G618</f>
        <v>0</v>
      </c>
      <c r="H615">
        <f>'PSP Data'!H618</f>
        <v>0</v>
      </c>
      <c r="I615">
        <f>'PSP Data'!I618</f>
        <v>0</v>
      </c>
      <c r="J615" s="29" t="e">
        <f t="shared" si="45"/>
        <v>#N/A</v>
      </c>
      <c r="K615" s="29" t="e">
        <f>IF(AND((A615&lt;'PSP Data'!$C$11),(A615&lt;&gt;0)),Analysis!C615,#N/A)</f>
        <v>#N/A</v>
      </c>
      <c r="L615" t="e">
        <f>IF(VLOOKUP(B615,Table1[],4)=0,"unknown", VLOOKUP(B615,Table1[],4))</f>
        <v>#N/A</v>
      </c>
      <c r="M615">
        <v>1</v>
      </c>
      <c r="N615" t="e">
        <f t="shared" si="46"/>
        <v>#N/A</v>
      </c>
      <c r="O615" t="str">
        <f t="shared" si="47"/>
        <v/>
      </c>
      <c r="P615" t="str">
        <f t="shared" si="48"/>
        <v/>
      </c>
      <c r="Q615" t="str">
        <f t="shared" si="49"/>
        <v/>
      </c>
      <c r="R615">
        <v>1</v>
      </c>
    </row>
    <row r="616" spans="1:18">
      <c r="A616">
        <f>'PSP Data'!A619</f>
        <v>0</v>
      </c>
      <c r="B616" t="str">
        <f>IF('PSP Data'!B619=0,"",'PSP Data'!B619)</f>
        <v/>
      </c>
      <c r="C616">
        <f>'PSP Data'!C619</f>
        <v>0</v>
      </c>
      <c r="D616">
        <f>'PSP Data'!D619</f>
        <v>0</v>
      </c>
      <c r="E616">
        <f>'PSP Data'!E619</f>
        <v>0</v>
      </c>
      <c r="F616">
        <f>'PSP Data'!F619</f>
        <v>0</v>
      </c>
      <c r="G616">
        <f>'PSP Data'!G619</f>
        <v>0</v>
      </c>
      <c r="H616">
        <f>'PSP Data'!H619</f>
        <v>0</v>
      </c>
      <c r="I616">
        <f>'PSP Data'!I619</f>
        <v>0</v>
      </c>
      <c r="J616" s="29" t="e">
        <f t="shared" si="45"/>
        <v>#N/A</v>
      </c>
      <c r="K616" s="29" t="e">
        <f>IF(AND((A616&lt;'PSP Data'!$C$11),(A616&lt;&gt;0)),Analysis!C616,#N/A)</f>
        <v>#N/A</v>
      </c>
      <c r="L616" t="e">
        <f>IF(VLOOKUP(B616,Table1[],4)=0,"unknown", VLOOKUP(B616,Table1[],4))</f>
        <v>#N/A</v>
      </c>
      <c r="M616">
        <v>1</v>
      </c>
      <c r="N616" t="e">
        <f t="shared" si="46"/>
        <v>#N/A</v>
      </c>
      <c r="O616" t="str">
        <f t="shared" si="47"/>
        <v/>
      </c>
      <c r="P616" t="str">
        <f t="shared" si="48"/>
        <v/>
      </c>
      <c r="Q616" t="str">
        <f t="shared" si="49"/>
        <v/>
      </c>
      <c r="R616">
        <v>1</v>
      </c>
    </row>
    <row r="617" spans="1:18">
      <c r="A617">
        <f>'PSP Data'!A620</f>
        <v>0</v>
      </c>
      <c r="B617" t="str">
        <f>IF('PSP Data'!B620=0,"",'PSP Data'!B620)</f>
        <v/>
      </c>
      <c r="C617">
        <f>'PSP Data'!C620</f>
        <v>0</v>
      </c>
      <c r="D617">
        <f>'PSP Data'!D620</f>
        <v>0</v>
      </c>
      <c r="E617">
        <f>'PSP Data'!E620</f>
        <v>0</v>
      </c>
      <c r="F617">
        <f>'PSP Data'!F620</f>
        <v>0</v>
      </c>
      <c r="G617">
        <f>'PSP Data'!G620</f>
        <v>0</v>
      </c>
      <c r="H617">
        <f>'PSP Data'!H620</f>
        <v>0</v>
      </c>
      <c r="I617">
        <f>'PSP Data'!I620</f>
        <v>0</v>
      </c>
      <c r="J617" s="29" t="e">
        <f t="shared" si="45"/>
        <v>#N/A</v>
      </c>
      <c r="K617" s="29" t="e">
        <f>IF(AND((A617&lt;'PSP Data'!$C$11),(A617&lt;&gt;0)),Analysis!C617,#N/A)</f>
        <v>#N/A</v>
      </c>
      <c r="L617" t="e">
        <f>IF(VLOOKUP(B617,Table1[],4)=0,"unknown", VLOOKUP(B617,Table1[],4))</f>
        <v>#N/A</v>
      </c>
      <c r="M617">
        <v>1</v>
      </c>
      <c r="N617" t="e">
        <f t="shared" si="46"/>
        <v>#N/A</v>
      </c>
      <c r="O617" t="str">
        <f t="shared" si="47"/>
        <v/>
      </c>
      <c r="P617" t="str">
        <f t="shared" si="48"/>
        <v/>
      </c>
      <c r="Q617" t="str">
        <f t="shared" si="49"/>
        <v/>
      </c>
      <c r="R617">
        <v>1</v>
      </c>
    </row>
    <row r="618" spans="1:18">
      <c r="A618">
        <f>'PSP Data'!A621</f>
        <v>0</v>
      </c>
      <c r="B618" t="str">
        <f>IF('PSP Data'!B621=0,"",'PSP Data'!B621)</f>
        <v/>
      </c>
      <c r="C618">
        <f>'PSP Data'!C621</f>
        <v>0</v>
      </c>
      <c r="D618">
        <f>'PSP Data'!D621</f>
        <v>0</v>
      </c>
      <c r="E618">
        <f>'PSP Data'!E621</f>
        <v>0</v>
      </c>
      <c r="F618">
        <f>'PSP Data'!F621</f>
        <v>0</v>
      </c>
      <c r="G618">
        <f>'PSP Data'!G621</f>
        <v>0</v>
      </c>
      <c r="H618">
        <f>'PSP Data'!H621</f>
        <v>0</v>
      </c>
      <c r="I618">
        <f>'PSP Data'!I621</f>
        <v>0</v>
      </c>
      <c r="J618" s="29" t="e">
        <f t="shared" si="45"/>
        <v>#N/A</v>
      </c>
      <c r="K618" s="29" t="e">
        <f>IF(AND((A618&lt;'PSP Data'!$C$11),(A618&lt;&gt;0)),Analysis!C618,#N/A)</f>
        <v>#N/A</v>
      </c>
      <c r="L618" t="e">
        <f>IF(VLOOKUP(B618,Table1[],4)=0,"unknown", VLOOKUP(B618,Table1[],4))</f>
        <v>#N/A</v>
      </c>
      <c r="M618">
        <v>1</v>
      </c>
      <c r="N618" t="e">
        <f t="shared" si="46"/>
        <v>#N/A</v>
      </c>
      <c r="O618" t="str">
        <f t="shared" si="47"/>
        <v/>
      </c>
      <c r="P618" t="str">
        <f t="shared" si="48"/>
        <v/>
      </c>
      <c r="Q618" t="str">
        <f t="shared" si="49"/>
        <v/>
      </c>
      <c r="R618">
        <v>1</v>
      </c>
    </row>
    <row r="619" spans="1:18">
      <c r="A619">
        <f>'PSP Data'!A622</f>
        <v>0</v>
      </c>
      <c r="B619" t="str">
        <f>IF('PSP Data'!B622=0,"",'PSP Data'!B622)</f>
        <v/>
      </c>
      <c r="C619">
        <f>'PSP Data'!C622</f>
        <v>0</v>
      </c>
      <c r="D619">
        <f>'PSP Data'!D622</f>
        <v>0</v>
      </c>
      <c r="E619">
        <f>'PSP Data'!E622</f>
        <v>0</v>
      </c>
      <c r="F619">
        <f>'PSP Data'!F622</f>
        <v>0</v>
      </c>
      <c r="G619">
        <f>'PSP Data'!G622</f>
        <v>0</v>
      </c>
      <c r="H619">
        <f>'PSP Data'!H622</f>
        <v>0</v>
      </c>
      <c r="I619">
        <f>'PSP Data'!I622</f>
        <v>0</v>
      </c>
      <c r="J619" s="29" t="e">
        <f t="shared" si="45"/>
        <v>#N/A</v>
      </c>
      <c r="K619" s="29" t="e">
        <f>IF(AND((A619&lt;'PSP Data'!$C$11),(A619&lt;&gt;0)),Analysis!C619,#N/A)</f>
        <v>#N/A</v>
      </c>
      <c r="L619" t="e">
        <f>IF(VLOOKUP(B619,Table1[],4)=0,"unknown", VLOOKUP(B619,Table1[],4))</f>
        <v>#N/A</v>
      </c>
      <c r="M619">
        <v>1</v>
      </c>
      <c r="N619" t="e">
        <f t="shared" si="46"/>
        <v>#N/A</v>
      </c>
      <c r="O619" t="str">
        <f t="shared" si="47"/>
        <v/>
      </c>
      <c r="P619" t="str">
        <f t="shared" si="48"/>
        <v/>
      </c>
      <c r="Q619" t="str">
        <f t="shared" si="49"/>
        <v/>
      </c>
      <c r="R619">
        <v>1</v>
      </c>
    </row>
    <row r="620" spans="1:18">
      <c r="A620">
        <f>'PSP Data'!A623</f>
        <v>0</v>
      </c>
      <c r="B620" t="str">
        <f>IF('PSP Data'!B623=0,"",'PSP Data'!B623)</f>
        <v/>
      </c>
      <c r="C620">
        <f>'PSP Data'!C623</f>
        <v>0</v>
      </c>
      <c r="D620">
        <f>'PSP Data'!D623</f>
        <v>0</v>
      </c>
      <c r="E620">
        <f>'PSP Data'!E623</f>
        <v>0</v>
      </c>
      <c r="F620">
        <f>'PSP Data'!F623</f>
        <v>0</v>
      </c>
      <c r="G620">
        <f>'PSP Data'!G623</f>
        <v>0</v>
      </c>
      <c r="H620">
        <f>'PSP Data'!H623</f>
        <v>0</v>
      </c>
      <c r="I620">
        <f>'PSP Data'!I623</f>
        <v>0</v>
      </c>
      <c r="J620" s="29" t="e">
        <f t="shared" si="45"/>
        <v>#N/A</v>
      </c>
      <c r="K620" s="29" t="e">
        <f>IF(AND((A620&lt;'PSP Data'!$C$11),(A620&lt;&gt;0)),Analysis!C620,#N/A)</f>
        <v>#N/A</v>
      </c>
      <c r="L620" t="e">
        <f>IF(VLOOKUP(B620,Table1[],4)=0,"unknown", VLOOKUP(B620,Table1[],4))</f>
        <v>#N/A</v>
      </c>
      <c r="M620">
        <v>1</v>
      </c>
      <c r="N620" t="e">
        <f t="shared" si="46"/>
        <v>#N/A</v>
      </c>
      <c r="O620" t="str">
        <f t="shared" si="47"/>
        <v/>
      </c>
      <c r="P620" t="str">
        <f t="shared" si="48"/>
        <v/>
      </c>
      <c r="Q620" t="str">
        <f t="shared" si="49"/>
        <v/>
      </c>
      <c r="R620">
        <v>1</v>
      </c>
    </row>
    <row r="621" spans="1:18">
      <c r="A621">
        <f>'PSP Data'!A624</f>
        <v>0</v>
      </c>
      <c r="B621" t="str">
        <f>IF('PSP Data'!B624=0,"",'PSP Data'!B624)</f>
        <v/>
      </c>
      <c r="C621">
        <f>'PSP Data'!C624</f>
        <v>0</v>
      </c>
      <c r="D621">
        <f>'PSP Data'!D624</f>
        <v>0</v>
      </c>
      <c r="E621">
        <f>'PSP Data'!E624</f>
        <v>0</v>
      </c>
      <c r="F621">
        <f>'PSP Data'!F624</f>
        <v>0</v>
      </c>
      <c r="G621">
        <f>'PSP Data'!G624</f>
        <v>0</v>
      </c>
      <c r="H621">
        <f>'PSP Data'!H624</f>
        <v>0</v>
      </c>
      <c r="I621">
        <f>'PSP Data'!I624</f>
        <v>0</v>
      </c>
      <c r="J621" s="29" t="e">
        <f t="shared" si="45"/>
        <v>#N/A</v>
      </c>
      <c r="K621" s="29" t="e">
        <f>IF(AND((A621&lt;'PSP Data'!$C$11),(A621&lt;&gt;0)),Analysis!C621,#N/A)</f>
        <v>#N/A</v>
      </c>
      <c r="L621" t="e">
        <f>IF(VLOOKUP(B621,Table1[],4)=0,"unknown", VLOOKUP(B621,Table1[],4))</f>
        <v>#N/A</v>
      </c>
      <c r="M621">
        <v>1</v>
      </c>
      <c r="N621" t="e">
        <f t="shared" si="46"/>
        <v>#N/A</v>
      </c>
      <c r="O621" t="str">
        <f t="shared" si="47"/>
        <v/>
      </c>
      <c r="P621" t="str">
        <f t="shared" si="48"/>
        <v/>
      </c>
      <c r="Q621" t="str">
        <f t="shared" si="49"/>
        <v/>
      </c>
      <c r="R621">
        <v>1</v>
      </c>
    </row>
    <row r="622" spans="1:18">
      <c r="A622">
        <f>'PSP Data'!A625</f>
        <v>0</v>
      </c>
      <c r="B622" t="str">
        <f>IF('PSP Data'!B625=0,"",'PSP Data'!B625)</f>
        <v/>
      </c>
      <c r="C622">
        <f>'PSP Data'!C625</f>
        <v>0</v>
      </c>
      <c r="D622">
        <f>'PSP Data'!D625</f>
        <v>0</v>
      </c>
      <c r="E622">
        <f>'PSP Data'!E625</f>
        <v>0</v>
      </c>
      <c r="F622">
        <f>'PSP Data'!F625</f>
        <v>0</v>
      </c>
      <c r="G622">
        <f>'PSP Data'!G625</f>
        <v>0</v>
      </c>
      <c r="H622">
        <f>'PSP Data'!H625</f>
        <v>0</v>
      </c>
      <c r="I622">
        <f>'PSP Data'!I625</f>
        <v>0</v>
      </c>
      <c r="J622" s="29" t="e">
        <f t="shared" si="45"/>
        <v>#N/A</v>
      </c>
      <c r="K622" s="29" t="e">
        <f>IF(AND((A622&lt;'PSP Data'!$C$11),(A622&lt;&gt;0)),Analysis!C622,#N/A)</f>
        <v>#N/A</v>
      </c>
      <c r="L622" t="e">
        <f>IF(VLOOKUP(B622,Table1[],4)=0,"unknown", VLOOKUP(B622,Table1[],4))</f>
        <v>#N/A</v>
      </c>
      <c r="M622">
        <v>1</v>
      </c>
      <c r="N622" t="e">
        <f t="shared" si="46"/>
        <v>#N/A</v>
      </c>
      <c r="O622" t="str">
        <f t="shared" si="47"/>
        <v/>
      </c>
      <c r="P622" t="str">
        <f t="shared" si="48"/>
        <v/>
      </c>
      <c r="Q622" t="str">
        <f t="shared" si="49"/>
        <v/>
      </c>
      <c r="R622">
        <v>1</v>
      </c>
    </row>
    <row r="623" spans="1:18">
      <c r="A623">
        <f>'PSP Data'!A626</f>
        <v>0</v>
      </c>
      <c r="B623" t="str">
        <f>IF('PSP Data'!B626=0,"",'PSP Data'!B626)</f>
        <v/>
      </c>
      <c r="C623">
        <f>'PSP Data'!C626</f>
        <v>0</v>
      </c>
      <c r="D623">
        <f>'PSP Data'!D626</f>
        <v>0</v>
      </c>
      <c r="E623">
        <f>'PSP Data'!E626</f>
        <v>0</v>
      </c>
      <c r="F623">
        <f>'PSP Data'!F626</f>
        <v>0</v>
      </c>
      <c r="G623">
        <f>'PSP Data'!G626</f>
        <v>0</v>
      </c>
      <c r="H623">
        <f>'PSP Data'!H626</f>
        <v>0</v>
      </c>
      <c r="I623">
        <f>'PSP Data'!I626</f>
        <v>0</v>
      </c>
      <c r="J623" s="29" t="e">
        <f t="shared" si="45"/>
        <v>#N/A</v>
      </c>
      <c r="K623" s="29" t="e">
        <f>IF(AND((A623&lt;'PSP Data'!$C$11),(A623&lt;&gt;0)),Analysis!C623,#N/A)</f>
        <v>#N/A</v>
      </c>
      <c r="L623" t="e">
        <f>IF(VLOOKUP(B623,Table1[],4)=0,"unknown", VLOOKUP(B623,Table1[],4))</f>
        <v>#N/A</v>
      </c>
      <c r="M623">
        <v>1</v>
      </c>
      <c r="N623" t="e">
        <f t="shared" si="46"/>
        <v>#N/A</v>
      </c>
      <c r="O623" t="str">
        <f t="shared" si="47"/>
        <v/>
      </c>
      <c r="P623" t="str">
        <f t="shared" si="48"/>
        <v/>
      </c>
      <c r="Q623" t="str">
        <f t="shared" si="49"/>
        <v/>
      </c>
      <c r="R623">
        <v>1</v>
      </c>
    </row>
    <row r="624" spans="1:18">
      <c r="A624">
        <f>'PSP Data'!A627</f>
        <v>0</v>
      </c>
      <c r="B624" t="str">
        <f>IF('PSP Data'!B627=0,"",'PSP Data'!B627)</f>
        <v/>
      </c>
      <c r="C624">
        <f>'PSP Data'!C627</f>
        <v>0</v>
      </c>
      <c r="D624">
        <f>'PSP Data'!D627</f>
        <v>0</v>
      </c>
      <c r="E624">
        <f>'PSP Data'!E627</f>
        <v>0</v>
      </c>
      <c r="F624">
        <f>'PSP Data'!F627</f>
        <v>0</v>
      </c>
      <c r="G624">
        <f>'PSP Data'!G627</f>
        <v>0</v>
      </c>
      <c r="H624">
        <f>'PSP Data'!H627</f>
        <v>0</v>
      </c>
      <c r="I624">
        <f>'PSP Data'!I627</f>
        <v>0</v>
      </c>
      <c r="J624" s="29" t="e">
        <f t="shared" si="45"/>
        <v>#N/A</v>
      </c>
      <c r="K624" s="29" t="e">
        <f>IF(AND((A624&lt;'PSP Data'!$C$11),(A624&lt;&gt;0)),Analysis!C624,#N/A)</f>
        <v>#N/A</v>
      </c>
      <c r="L624" t="e">
        <f>IF(VLOOKUP(B624,Table1[],4)=0,"unknown", VLOOKUP(B624,Table1[],4))</f>
        <v>#N/A</v>
      </c>
      <c r="M624">
        <v>1</v>
      </c>
      <c r="N624" t="e">
        <f t="shared" si="46"/>
        <v>#N/A</v>
      </c>
      <c r="O624" t="str">
        <f t="shared" si="47"/>
        <v/>
      </c>
      <c r="P624" t="str">
        <f t="shared" si="48"/>
        <v/>
      </c>
      <c r="Q624" t="str">
        <f t="shared" si="49"/>
        <v/>
      </c>
      <c r="R624">
        <v>1</v>
      </c>
    </row>
    <row r="625" spans="1:18">
      <c r="A625">
        <f>'PSP Data'!A628</f>
        <v>0</v>
      </c>
      <c r="B625" t="str">
        <f>IF('PSP Data'!B628=0,"",'PSP Data'!B628)</f>
        <v/>
      </c>
      <c r="C625">
        <f>'PSP Data'!C628</f>
        <v>0</v>
      </c>
      <c r="D625">
        <f>'PSP Data'!D628</f>
        <v>0</v>
      </c>
      <c r="E625">
        <f>'PSP Data'!E628</f>
        <v>0</v>
      </c>
      <c r="F625">
        <f>'PSP Data'!F628</f>
        <v>0</v>
      </c>
      <c r="G625">
        <f>'PSP Data'!G628</f>
        <v>0</v>
      </c>
      <c r="H625">
        <f>'PSP Data'!H628</f>
        <v>0</v>
      </c>
      <c r="I625">
        <f>'PSP Data'!I628</f>
        <v>0</v>
      </c>
      <c r="J625" s="29" t="e">
        <f t="shared" si="45"/>
        <v>#N/A</v>
      </c>
      <c r="K625" s="29" t="e">
        <f>IF(AND((A625&lt;'PSP Data'!$C$11),(A625&lt;&gt;0)),Analysis!C625,#N/A)</f>
        <v>#N/A</v>
      </c>
      <c r="L625" t="e">
        <f>IF(VLOOKUP(B625,Table1[],4)=0,"unknown", VLOOKUP(B625,Table1[],4))</f>
        <v>#N/A</v>
      </c>
      <c r="M625">
        <v>1</v>
      </c>
      <c r="N625" t="e">
        <f t="shared" si="46"/>
        <v>#N/A</v>
      </c>
      <c r="O625" t="str">
        <f t="shared" si="47"/>
        <v/>
      </c>
      <c r="P625" t="str">
        <f t="shared" si="48"/>
        <v/>
      </c>
      <c r="Q625" t="str">
        <f t="shared" si="49"/>
        <v/>
      </c>
      <c r="R625">
        <v>1</v>
      </c>
    </row>
    <row r="626" spans="1:18">
      <c r="A626">
        <f>'PSP Data'!A629</f>
        <v>0</v>
      </c>
      <c r="B626" t="str">
        <f>IF('PSP Data'!B629=0,"",'PSP Data'!B629)</f>
        <v/>
      </c>
      <c r="C626">
        <f>'PSP Data'!C629</f>
        <v>0</v>
      </c>
      <c r="D626">
        <f>'PSP Data'!D629</f>
        <v>0</v>
      </c>
      <c r="E626">
        <f>'PSP Data'!E629</f>
        <v>0</v>
      </c>
      <c r="F626">
        <f>'PSP Data'!F629</f>
        <v>0</v>
      </c>
      <c r="G626">
        <f>'PSP Data'!G629</f>
        <v>0</v>
      </c>
      <c r="H626">
        <f>'PSP Data'!H629</f>
        <v>0</v>
      </c>
      <c r="I626">
        <f>'PSP Data'!I629</f>
        <v>0</v>
      </c>
      <c r="J626" s="29" t="e">
        <f t="shared" si="45"/>
        <v>#N/A</v>
      </c>
      <c r="K626" s="29" t="e">
        <f>IF(AND((A626&lt;'PSP Data'!$C$11),(A626&lt;&gt;0)),Analysis!C626,#N/A)</f>
        <v>#N/A</v>
      </c>
      <c r="L626" t="e">
        <f>IF(VLOOKUP(B626,Table1[],4)=0,"unknown", VLOOKUP(B626,Table1[],4))</f>
        <v>#N/A</v>
      </c>
      <c r="M626">
        <v>1</v>
      </c>
      <c r="N626" t="e">
        <f t="shared" si="46"/>
        <v>#N/A</v>
      </c>
      <c r="O626" t="str">
        <f t="shared" si="47"/>
        <v/>
      </c>
      <c r="P626" t="str">
        <f t="shared" si="48"/>
        <v/>
      </c>
      <c r="Q626" t="str">
        <f t="shared" si="49"/>
        <v/>
      </c>
      <c r="R626">
        <v>1</v>
      </c>
    </row>
    <row r="627" spans="1:18">
      <c r="A627">
        <f>'PSP Data'!A630</f>
        <v>0</v>
      </c>
      <c r="B627" t="str">
        <f>IF('PSP Data'!B630=0,"",'PSP Data'!B630)</f>
        <v/>
      </c>
      <c r="C627">
        <f>'PSP Data'!C630</f>
        <v>0</v>
      </c>
      <c r="D627">
        <f>'PSP Data'!D630</f>
        <v>0</v>
      </c>
      <c r="E627">
        <f>'PSP Data'!E630</f>
        <v>0</v>
      </c>
      <c r="F627">
        <f>'PSP Data'!F630</f>
        <v>0</v>
      </c>
      <c r="G627">
        <f>'PSP Data'!G630</f>
        <v>0</v>
      </c>
      <c r="H627">
        <f>'PSP Data'!H630</f>
        <v>0</v>
      </c>
      <c r="I627">
        <f>'PSP Data'!I630</f>
        <v>0</v>
      </c>
      <c r="J627" s="29" t="e">
        <f t="shared" si="45"/>
        <v>#N/A</v>
      </c>
      <c r="K627" s="29" t="e">
        <f>IF(AND((A627&lt;'PSP Data'!$C$11),(A627&lt;&gt;0)),Analysis!C627,#N/A)</f>
        <v>#N/A</v>
      </c>
      <c r="L627" t="e">
        <f>IF(VLOOKUP(B627,Table1[],4)=0,"unknown", VLOOKUP(B627,Table1[],4))</f>
        <v>#N/A</v>
      </c>
      <c r="M627">
        <v>1</v>
      </c>
      <c r="N627" t="e">
        <f t="shared" si="46"/>
        <v>#N/A</v>
      </c>
      <c r="O627" t="str">
        <f t="shared" si="47"/>
        <v/>
      </c>
      <c r="P627" t="str">
        <f t="shared" si="48"/>
        <v/>
      </c>
      <c r="Q627" t="str">
        <f t="shared" si="49"/>
        <v/>
      </c>
      <c r="R627">
        <v>1</v>
      </c>
    </row>
    <row r="628" spans="1:18">
      <c r="A628">
        <f>'PSP Data'!A631</f>
        <v>0</v>
      </c>
      <c r="B628" t="str">
        <f>IF('PSP Data'!B631=0,"",'PSP Data'!B631)</f>
        <v/>
      </c>
      <c r="C628">
        <f>'PSP Data'!C631</f>
        <v>0</v>
      </c>
      <c r="D628">
        <f>'PSP Data'!D631</f>
        <v>0</v>
      </c>
      <c r="E628">
        <f>'PSP Data'!E631</f>
        <v>0</v>
      </c>
      <c r="F628">
        <f>'PSP Data'!F631</f>
        <v>0</v>
      </c>
      <c r="G628">
        <f>'PSP Data'!G631</f>
        <v>0</v>
      </c>
      <c r="H628">
        <f>'PSP Data'!H631</f>
        <v>0</v>
      </c>
      <c r="I628">
        <f>'PSP Data'!I631</f>
        <v>0</v>
      </c>
      <c r="J628" s="29" t="e">
        <f t="shared" si="45"/>
        <v>#N/A</v>
      </c>
      <c r="K628" s="29" t="e">
        <f>IF(AND((A628&lt;'PSP Data'!$C$11),(A628&lt;&gt;0)),Analysis!C628,#N/A)</f>
        <v>#N/A</v>
      </c>
      <c r="L628" t="e">
        <f>IF(VLOOKUP(B628,Table1[],4)=0,"unknown", VLOOKUP(B628,Table1[],4))</f>
        <v>#N/A</v>
      </c>
      <c r="M628">
        <v>1</v>
      </c>
      <c r="N628" t="e">
        <f t="shared" si="46"/>
        <v>#N/A</v>
      </c>
      <c r="O628" t="str">
        <f t="shared" si="47"/>
        <v/>
      </c>
      <c r="P628" t="str">
        <f t="shared" si="48"/>
        <v/>
      </c>
      <c r="Q628" t="str">
        <f t="shared" si="49"/>
        <v/>
      </c>
      <c r="R628">
        <v>1</v>
      </c>
    </row>
    <row r="629" spans="1:18">
      <c r="A629">
        <f>'PSP Data'!A632</f>
        <v>0</v>
      </c>
      <c r="B629" t="str">
        <f>IF('PSP Data'!B632=0,"",'PSP Data'!B632)</f>
        <v/>
      </c>
      <c r="C629">
        <f>'PSP Data'!C632</f>
        <v>0</v>
      </c>
      <c r="D629">
        <f>'PSP Data'!D632</f>
        <v>0</v>
      </c>
      <c r="E629">
        <f>'PSP Data'!E632</f>
        <v>0</v>
      </c>
      <c r="F629">
        <f>'PSP Data'!F632</f>
        <v>0</v>
      </c>
      <c r="G629">
        <f>'PSP Data'!G632</f>
        <v>0</v>
      </c>
      <c r="H629">
        <f>'PSP Data'!H632</f>
        <v>0</v>
      </c>
      <c r="I629">
        <f>'PSP Data'!I632</f>
        <v>0</v>
      </c>
      <c r="J629" s="29" t="e">
        <f t="shared" si="45"/>
        <v>#N/A</v>
      </c>
      <c r="K629" s="29" t="e">
        <f>IF(AND((A629&lt;'PSP Data'!$C$11),(A629&lt;&gt;0)),Analysis!C629,#N/A)</f>
        <v>#N/A</v>
      </c>
      <c r="L629" t="e">
        <f>IF(VLOOKUP(B629,Table1[],4)=0,"unknown", VLOOKUP(B629,Table1[],4))</f>
        <v>#N/A</v>
      </c>
      <c r="M629">
        <v>1</v>
      </c>
      <c r="N629" t="e">
        <f t="shared" si="46"/>
        <v>#N/A</v>
      </c>
      <c r="O629" t="str">
        <f t="shared" si="47"/>
        <v/>
      </c>
      <c r="P629" t="str">
        <f t="shared" si="48"/>
        <v/>
      </c>
      <c r="Q629" t="str">
        <f t="shared" si="49"/>
        <v/>
      </c>
      <c r="R629">
        <v>1</v>
      </c>
    </row>
    <row r="630" spans="1:18">
      <c r="A630">
        <f>'PSP Data'!A633</f>
        <v>0</v>
      </c>
      <c r="B630" t="str">
        <f>IF('PSP Data'!B633=0,"",'PSP Data'!B633)</f>
        <v/>
      </c>
      <c r="C630">
        <f>'PSP Data'!C633</f>
        <v>0</v>
      </c>
      <c r="D630">
        <f>'PSP Data'!D633</f>
        <v>0</v>
      </c>
      <c r="E630">
        <f>'PSP Data'!E633</f>
        <v>0</v>
      </c>
      <c r="F630">
        <f>'PSP Data'!F633</f>
        <v>0</v>
      </c>
      <c r="G630">
        <f>'PSP Data'!G633</f>
        <v>0</v>
      </c>
      <c r="H630">
        <f>'PSP Data'!H633</f>
        <v>0</v>
      </c>
      <c r="I630">
        <f>'PSP Data'!I633</f>
        <v>0</v>
      </c>
      <c r="J630" s="29" t="e">
        <f t="shared" si="45"/>
        <v>#N/A</v>
      </c>
      <c r="K630" s="29" t="e">
        <f>IF(AND((A630&lt;'PSP Data'!$C$11),(A630&lt;&gt;0)),Analysis!C630,#N/A)</f>
        <v>#N/A</v>
      </c>
      <c r="L630" t="e">
        <f>IF(VLOOKUP(B630,Table1[],4)=0,"unknown", VLOOKUP(B630,Table1[],4))</f>
        <v>#N/A</v>
      </c>
      <c r="M630">
        <v>1</v>
      </c>
      <c r="N630" t="e">
        <f t="shared" si="46"/>
        <v>#N/A</v>
      </c>
      <c r="O630" t="str">
        <f t="shared" si="47"/>
        <v/>
      </c>
      <c r="P630" t="str">
        <f t="shared" si="48"/>
        <v/>
      </c>
      <c r="Q630" t="str">
        <f t="shared" si="49"/>
        <v/>
      </c>
      <c r="R630">
        <v>1</v>
      </c>
    </row>
    <row r="631" spans="1:18">
      <c r="A631">
        <f>'PSP Data'!A634</f>
        <v>0</v>
      </c>
      <c r="B631" t="str">
        <f>IF('PSP Data'!B634=0,"",'PSP Data'!B634)</f>
        <v/>
      </c>
      <c r="C631">
        <f>'PSP Data'!C634</f>
        <v>0</v>
      </c>
      <c r="D631">
        <f>'PSP Data'!D634</f>
        <v>0</v>
      </c>
      <c r="E631">
        <f>'PSP Data'!E634</f>
        <v>0</v>
      </c>
      <c r="F631">
        <f>'PSP Data'!F634</f>
        <v>0</v>
      </c>
      <c r="G631">
        <f>'PSP Data'!G634</f>
        <v>0</v>
      </c>
      <c r="H631">
        <f>'PSP Data'!H634</f>
        <v>0</v>
      </c>
      <c r="I631">
        <f>'PSP Data'!I634</f>
        <v>0</v>
      </c>
      <c r="J631" s="29" t="e">
        <f t="shared" si="45"/>
        <v>#N/A</v>
      </c>
      <c r="K631" s="29" t="e">
        <f>IF(AND((A631&lt;'PSP Data'!$C$11),(A631&lt;&gt;0)),Analysis!C631,#N/A)</f>
        <v>#N/A</v>
      </c>
      <c r="L631" t="e">
        <f>IF(VLOOKUP(B631,Table1[],4)=0,"unknown", VLOOKUP(B631,Table1[],4))</f>
        <v>#N/A</v>
      </c>
      <c r="M631">
        <v>1</v>
      </c>
      <c r="N631" t="e">
        <f t="shared" si="46"/>
        <v>#N/A</v>
      </c>
      <c r="O631" t="str">
        <f t="shared" si="47"/>
        <v/>
      </c>
      <c r="P631" t="str">
        <f t="shared" si="48"/>
        <v/>
      </c>
      <c r="Q631" t="str">
        <f t="shared" si="49"/>
        <v/>
      </c>
      <c r="R631">
        <v>1</v>
      </c>
    </row>
    <row r="632" spans="1:18">
      <c r="A632">
        <f>'PSP Data'!A635</f>
        <v>0</v>
      </c>
      <c r="B632" t="str">
        <f>IF('PSP Data'!B635=0,"",'PSP Data'!B635)</f>
        <v/>
      </c>
      <c r="C632">
        <f>'PSP Data'!C635</f>
        <v>0</v>
      </c>
      <c r="D632">
        <f>'PSP Data'!D635</f>
        <v>0</v>
      </c>
      <c r="E632">
        <f>'PSP Data'!E635</f>
        <v>0</v>
      </c>
      <c r="F632">
        <f>'PSP Data'!F635</f>
        <v>0</v>
      </c>
      <c r="G632">
        <f>'PSP Data'!G635</f>
        <v>0</v>
      </c>
      <c r="H632">
        <f>'PSP Data'!H635</f>
        <v>0</v>
      </c>
      <c r="I632">
        <f>'PSP Data'!I635</f>
        <v>0</v>
      </c>
      <c r="J632" s="29" t="e">
        <f t="shared" si="45"/>
        <v>#N/A</v>
      </c>
      <c r="K632" s="29" t="e">
        <f>IF(AND((A632&lt;'PSP Data'!$C$11),(A632&lt;&gt;0)),Analysis!C632,#N/A)</f>
        <v>#N/A</v>
      </c>
      <c r="L632" t="e">
        <f>IF(VLOOKUP(B632,Table1[],4)=0,"unknown", VLOOKUP(B632,Table1[],4))</f>
        <v>#N/A</v>
      </c>
      <c r="M632">
        <v>1</v>
      </c>
      <c r="N632" t="e">
        <f t="shared" si="46"/>
        <v>#N/A</v>
      </c>
      <c r="O632" t="str">
        <f t="shared" si="47"/>
        <v/>
      </c>
      <c r="P632" t="str">
        <f t="shared" si="48"/>
        <v/>
      </c>
      <c r="Q632" t="str">
        <f t="shared" si="49"/>
        <v/>
      </c>
      <c r="R632">
        <v>1</v>
      </c>
    </row>
    <row r="633" spans="1:18">
      <c r="A633">
        <f>'PSP Data'!A636</f>
        <v>0</v>
      </c>
      <c r="B633" t="str">
        <f>IF('PSP Data'!B636=0,"",'PSP Data'!B636)</f>
        <v/>
      </c>
      <c r="C633">
        <f>'PSP Data'!C636</f>
        <v>0</v>
      </c>
      <c r="D633">
        <f>'PSP Data'!D636</f>
        <v>0</v>
      </c>
      <c r="E633">
        <f>'PSP Data'!E636</f>
        <v>0</v>
      </c>
      <c r="F633">
        <f>'PSP Data'!F636</f>
        <v>0</v>
      </c>
      <c r="G633">
        <f>'PSP Data'!G636</f>
        <v>0</v>
      </c>
      <c r="H633">
        <f>'PSP Data'!H636</f>
        <v>0</v>
      </c>
      <c r="I633">
        <f>'PSP Data'!I636</f>
        <v>0</v>
      </c>
      <c r="J633" s="29" t="e">
        <f t="shared" si="45"/>
        <v>#N/A</v>
      </c>
      <c r="K633" s="29" t="e">
        <f>IF(AND((A633&lt;'PSP Data'!$C$11),(A633&lt;&gt;0)),Analysis!C633,#N/A)</f>
        <v>#N/A</v>
      </c>
      <c r="L633" t="e">
        <f>IF(VLOOKUP(B633,Table1[],4)=0,"unknown", VLOOKUP(B633,Table1[],4))</f>
        <v>#N/A</v>
      </c>
      <c r="M633">
        <v>1</v>
      </c>
      <c r="N633" t="e">
        <f t="shared" si="46"/>
        <v>#N/A</v>
      </c>
      <c r="O633" t="str">
        <f t="shared" si="47"/>
        <v/>
      </c>
      <c r="P633" t="str">
        <f t="shared" si="48"/>
        <v/>
      </c>
      <c r="Q633" t="str">
        <f t="shared" si="49"/>
        <v/>
      </c>
      <c r="R633">
        <v>1</v>
      </c>
    </row>
    <row r="634" spans="1:18">
      <c r="A634">
        <f>'PSP Data'!A637</f>
        <v>0</v>
      </c>
      <c r="B634" t="str">
        <f>IF('PSP Data'!B637=0,"",'PSP Data'!B637)</f>
        <v/>
      </c>
      <c r="C634">
        <f>'PSP Data'!C637</f>
        <v>0</v>
      </c>
      <c r="D634">
        <f>'PSP Data'!D637</f>
        <v>0</v>
      </c>
      <c r="E634">
        <f>'PSP Data'!E637</f>
        <v>0</v>
      </c>
      <c r="F634">
        <f>'PSP Data'!F637</f>
        <v>0</v>
      </c>
      <c r="G634">
        <f>'PSP Data'!G637</f>
        <v>0</v>
      </c>
      <c r="H634">
        <f>'PSP Data'!H637</f>
        <v>0</v>
      </c>
      <c r="I634">
        <f>'PSP Data'!I637</f>
        <v>0</v>
      </c>
      <c r="J634" s="29" t="e">
        <f t="shared" si="45"/>
        <v>#N/A</v>
      </c>
      <c r="K634" s="29" t="e">
        <f>IF(AND((A634&lt;'PSP Data'!$C$11),(A634&lt;&gt;0)),Analysis!C634,#N/A)</f>
        <v>#N/A</v>
      </c>
      <c r="L634" t="e">
        <f>IF(VLOOKUP(B634,Table1[],4)=0,"unknown", VLOOKUP(B634,Table1[],4))</f>
        <v>#N/A</v>
      </c>
      <c r="M634">
        <v>1</v>
      </c>
      <c r="N634" t="e">
        <f t="shared" si="46"/>
        <v>#N/A</v>
      </c>
      <c r="O634" t="str">
        <f t="shared" si="47"/>
        <v/>
      </c>
      <c r="P634" t="str">
        <f t="shared" si="48"/>
        <v/>
      </c>
      <c r="Q634" t="str">
        <f t="shared" si="49"/>
        <v/>
      </c>
      <c r="R634">
        <v>1</v>
      </c>
    </row>
    <row r="635" spans="1:18">
      <c r="A635">
        <f>'PSP Data'!A638</f>
        <v>0</v>
      </c>
      <c r="B635" t="str">
        <f>IF('PSP Data'!B638=0,"",'PSP Data'!B638)</f>
        <v/>
      </c>
      <c r="C635">
        <f>'PSP Data'!C638</f>
        <v>0</v>
      </c>
      <c r="D635">
        <f>'PSP Data'!D638</f>
        <v>0</v>
      </c>
      <c r="E635">
        <f>'PSP Data'!E638</f>
        <v>0</v>
      </c>
      <c r="F635">
        <f>'PSP Data'!F638</f>
        <v>0</v>
      </c>
      <c r="G635">
        <f>'PSP Data'!G638</f>
        <v>0</v>
      </c>
      <c r="H635">
        <f>'PSP Data'!H638</f>
        <v>0</v>
      </c>
      <c r="I635">
        <f>'PSP Data'!I638</f>
        <v>0</v>
      </c>
      <c r="J635" s="29" t="e">
        <f t="shared" si="45"/>
        <v>#N/A</v>
      </c>
      <c r="K635" s="29" t="e">
        <f>IF(AND((A635&lt;'PSP Data'!$C$11),(A635&lt;&gt;0)),Analysis!C635,#N/A)</f>
        <v>#N/A</v>
      </c>
      <c r="L635" t="e">
        <f>IF(VLOOKUP(B635,Table1[],4)=0,"unknown", VLOOKUP(B635,Table1[],4))</f>
        <v>#N/A</v>
      </c>
      <c r="M635">
        <v>1</v>
      </c>
      <c r="N635" t="e">
        <f t="shared" si="46"/>
        <v>#N/A</v>
      </c>
      <c r="O635" t="str">
        <f t="shared" si="47"/>
        <v/>
      </c>
      <c r="P635" t="str">
        <f t="shared" si="48"/>
        <v/>
      </c>
      <c r="Q635" t="str">
        <f t="shared" si="49"/>
        <v/>
      </c>
      <c r="R635">
        <v>1</v>
      </c>
    </row>
    <row r="636" spans="1:18">
      <c r="A636">
        <f>'PSP Data'!A639</f>
        <v>0</v>
      </c>
      <c r="B636" t="str">
        <f>IF('PSP Data'!B639=0,"",'PSP Data'!B639)</f>
        <v/>
      </c>
      <c r="C636">
        <f>'PSP Data'!C639</f>
        <v>0</v>
      </c>
      <c r="D636">
        <f>'PSP Data'!D639</f>
        <v>0</v>
      </c>
      <c r="E636">
        <f>'PSP Data'!E639</f>
        <v>0</v>
      </c>
      <c r="F636">
        <f>'PSP Data'!F639</f>
        <v>0</v>
      </c>
      <c r="G636">
        <f>'PSP Data'!G639</f>
        <v>0</v>
      </c>
      <c r="H636">
        <f>'PSP Data'!H639</f>
        <v>0</v>
      </c>
      <c r="I636">
        <f>'PSP Data'!I639</f>
        <v>0</v>
      </c>
      <c r="J636" s="29" t="e">
        <f t="shared" si="45"/>
        <v>#N/A</v>
      </c>
      <c r="K636" s="29" t="e">
        <f>IF(AND((A636&lt;'PSP Data'!$C$11),(A636&lt;&gt;0)),Analysis!C636,#N/A)</f>
        <v>#N/A</v>
      </c>
      <c r="L636" t="e">
        <f>IF(VLOOKUP(B636,Table1[],4)=0,"unknown", VLOOKUP(B636,Table1[],4))</f>
        <v>#N/A</v>
      </c>
      <c r="M636">
        <v>1</v>
      </c>
      <c r="N636" t="e">
        <f t="shared" si="46"/>
        <v>#N/A</v>
      </c>
      <c r="O636" t="str">
        <f t="shared" si="47"/>
        <v/>
      </c>
      <c r="P636" t="str">
        <f t="shared" si="48"/>
        <v/>
      </c>
      <c r="Q636" t="str">
        <f t="shared" si="49"/>
        <v/>
      </c>
      <c r="R636">
        <v>1</v>
      </c>
    </row>
    <row r="637" spans="1:18">
      <c r="A637">
        <f>'PSP Data'!A640</f>
        <v>0</v>
      </c>
      <c r="B637" t="str">
        <f>IF('PSP Data'!B640=0,"",'PSP Data'!B640)</f>
        <v/>
      </c>
      <c r="C637">
        <f>'PSP Data'!C640</f>
        <v>0</v>
      </c>
      <c r="D637">
        <f>'PSP Data'!D640</f>
        <v>0</v>
      </c>
      <c r="E637">
        <f>'PSP Data'!E640</f>
        <v>0</v>
      </c>
      <c r="F637">
        <f>'PSP Data'!F640</f>
        <v>0</v>
      </c>
      <c r="G637">
        <f>'PSP Data'!G640</f>
        <v>0</v>
      </c>
      <c r="H637">
        <f>'PSP Data'!H640</f>
        <v>0</v>
      </c>
      <c r="I637">
        <f>'PSP Data'!I640</f>
        <v>0</v>
      </c>
      <c r="J637" s="29" t="e">
        <f t="shared" si="45"/>
        <v>#N/A</v>
      </c>
      <c r="K637" s="29" t="e">
        <f>IF(AND((A637&lt;'PSP Data'!$C$11),(A637&lt;&gt;0)),Analysis!C637,#N/A)</f>
        <v>#N/A</v>
      </c>
      <c r="L637" t="e">
        <f>IF(VLOOKUP(B637,Table1[],4)=0,"unknown", VLOOKUP(B637,Table1[],4))</f>
        <v>#N/A</v>
      </c>
      <c r="M637">
        <v>1</v>
      </c>
      <c r="N637" t="e">
        <f t="shared" si="46"/>
        <v>#N/A</v>
      </c>
      <c r="O637" t="str">
        <f t="shared" si="47"/>
        <v/>
      </c>
      <c r="P637" t="str">
        <f t="shared" si="48"/>
        <v/>
      </c>
      <c r="Q637" t="str">
        <f t="shared" si="49"/>
        <v/>
      </c>
      <c r="R637">
        <v>1</v>
      </c>
    </row>
    <row r="638" spans="1:18">
      <c r="A638">
        <f>'PSP Data'!A641</f>
        <v>0</v>
      </c>
      <c r="B638" t="str">
        <f>IF('PSP Data'!B641=0,"",'PSP Data'!B641)</f>
        <v/>
      </c>
      <c r="C638">
        <f>'PSP Data'!C641</f>
        <v>0</v>
      </c>
      <c r="D638">
        <f>'PSP Data'!D641</f>
        <v>0</v>
      </c>
      <c r="E638">
        <f>'PSP Data'!E641</f>
        <v>0</v>
      </c>
      <c r="F638">
        <f>'PSP Data'!F641</f>
        <v>0</v>
      </c>
      <c r="G638">
        <f>'PSP Data'!G641</f>
        <v>0</v>
      </c>
      <c r="H638">
        <f>'PSP Data'!H641</f>
        <v>0</v>
      </c>
      <c r="I638">
        <f>'PSP Data'!I641</f>
        <v>0</v>
      </c>
      <c r="J638" s="29" t="e">
        <f t="shared" si="45"/>
        <v>#N/A</v>
      </c>
      <c r="K638" s="29" t="e">
        <f>IF(AND((A638&lt;'PSP Data'!$C$11),(A638&lt;&gt;0)),Analysis!C638,#N/A)</f>
        <v>#N/A</v>
      </c>
      <c r="L638" t="e">
        <f>IF(VLOOKUP(B638,Table1[],4)=0,"unknown", VLOOKUP(B638,Table1[],4))</f>
        <v>#N/A</v>
      </c>
      <c r="M638">
        <v>1</v>
      </c>
      <c r="N638" t="e">
        <f t="shared" si="46"/>
        <v>#N/A</v>
      </c>
      <c r="O638" t="str">
        <f t="shared" si="47"/>
        <v/>
      </c>
      <c r="P638" t="str">
        <f t="shared" si="48"/>
        <v/>
      </c>
      <c r="Q638" t="str">
        <f t="shared" si="49"/>
        <v/>
      </c>
      <c r="R638">
        <v>1</v>
      </c>
    </row>
    <row r="639" spans="1:18">
      <c r="A639">
        <f>'PSP Data'!A642</f>
        <v>0</v>
      </c>
      <c r="B639" t="str">
        <f>IF('PSP Data'!B642=0,"",'PSP Data'!B642)</f>
        <v/>
      </c>
      <c r="C639">
        <f>'PSP Data'!C642</f>
        <v>0</v>
      </c>
      <c r="D639">
        <f>'PSP Data'!D642</f>
        <v>0</v>
      </c>
      <c r="E639">
        <f>'PSP Data'!E642</f>
        <v>0</v>
      </c>
      <c r="F639">
        <f>'PSP Data'!F642</f>
        <v>0</v>
      </c>
      <c r="G639">
        <f>'PSP Data'!G642</f>
        <v>0</v>
      </c>
      <c r="H639">
        <f>'PSP Data'!H642</f>
        <v>0</v>
      </c>
      <c r="I639">
        <f>'PSP Data'!I642</f>
        <v>0</v>
      </c>
      <c r="J639" s="29" t="e">
        <f t="shared" si="45"/>
        <v>#N/A</v>
      </c>
      <c r="K639" s="29" t="e">
        <f>IF(AND((A639&lt;'PSP Data'!$C$11),(A639&lt;&gt;0)),Analysis!C639,#N/A)</f>
        <v>#N/A</v>
      </c>
      <c r="L639" t="e">
        <f>IF(VLOOKUP(B639,Table1[],4)=0,"unknown", VLOOKUP(B639,Table1[],4))</f>
        <v>#N/A</v>
      </c>
      <c r="M639">
        <v>1</v>
      </c>
      <c r="N639" t="e">
        <f t="shared" si="46"/>
        <v>#N/A</v>
      </c>
      <c r="O639" t="str">
        <f t="shared" si="47"/>
        <v/>
      </c>
      <c r="P639" t="str">
        <f t="shared" si="48"/>
        <v/>
      </c>
      <c r="Q639" t="str">
        <f t="shared" si="49"/>
        <v/>
      </c>
      <c r="R639">
        <v>1</v>
      </c>
    </row>
    <row r="640" spans="1:18">
      <c r="A640">
        <f>'PSP Data'!A643</f>
        <v>0</v>
      </c>
      <c r="B640" t="str">
        <f>IF('PSP Data'!B643=0,"",'PSP Data'!B643)</f>
        <v/>
      </c>
      <c r="C640">
        <f>'PSP Data'!C643</f>
        <v>0</v>
      </c>
      <c r="D640">
        <f>'PSP Data'!D643</f>
        <v>0</v>
      </c>
      <c r="E640">
        <f>'PSP Data'!E643</f>
        <v>0</v>
      </c>
      <c r="F640">
        <f>'PSP Data'!F643</f>
        <v>0</v>
      </c>
      <c r="G640">
        <f>'PSP Data'!G643</f>
        <v>0</v>
      </c>
      <c r="H640">
        <f>'PSP Data'!H643</f>
        <v>0</v>
      </c>
      <c r="I640">
        <f>'PSP Data'!I643</f>
        <v>0</v>
      </c>
      <c r="J640" s="29" t="e">
        <f t="shared" si="45"/>
        <v>#N/A</v>
      </c>
      <c r="K640" s="29" t="e">
        <f>IF(AND((A640&lt;'PSP Data'!$C$11),(A640&lt;&gt;0)),Analysis!C640,#N/A)</f>
        <v>#N/A</v>
      </c>
      <c r="L640" t="e">
        <f>IF(VLOOKUP(B640,Table1[],4)=0,"unknown", VLOOKUP(B640,Table1[],4))</f>
        <v>#N/A</v>
      </c>
      <c r="M640">
        <v>1</v>
      </c>
      <c r="N640" t="e">
        <f t="shared" si="46"/>
        <v>#N/A</v>
      </c>
      <c r="O640" t="str">
        <f t="shared" si="47"/>
        <v/>
      </c>
      <c r="P640" t="str">
        <f t="shared" si="48"/>
        <v/>
      </c>
      <c r="Q640" t="str">
        <f t="shared" si="49"/>
        <v/>
      </c>
      <c r="R640">
        <v>1</v>
      </c>
    </row>
    <row r="641" spans="1:18">
      <c r="A641">
        <f>'PSP Data'!A644</f>
        <v>0</v>
      </c>
      <c r="B641" t="str">
        <f>IF('PSP Data'!B644=0,"",'PSP Data'!B644)</f>
        <v/>
      </c>
      <c r="C641">
        <f>'PSP Data'!C644</f>
        <v>0</v>
      </c>
      <c r="D641">
        <f>'PSP Data'!D644</f>
        <v>0</v>
      </c>
      <c r="E641">
        <f>'PSP Data'!E644</f>
        <v>0</v>
      </c>
      <c r="F641">
        <f>'PSP Data'!F644</f>
        <v>0</v>
      </c>
      <c r="G641">
        <f>'PSP Data'!G644</f>
        <v>0</v>
      </c>
      <c r="H641">
        <f>'PSP Data'!H644</f>
        <v>0</v>
      </c>
      <c r="I641">
        <f>'PSP Data'!I644</f>
        <v>0</v>
      </c>
      <c r="J641" s="29" t="e">
        <f t="shared" si="45"/>
        <v>#N/A</v>
      </c>
      <c r="K641" s="29" t="e">
        <f>IF(AND((A641&lt;'PSP Data'!$C$11),(A641&lt;&gt;0)),Analysis!C641,#N/A)</f>
        <v>#N/A</v>
      </c>
      <c r="L641" t="e">
        <f>IF(VLOOKUP(B641,Table1[],4)=0,"unknown", VLOOKUP(B641,Table1[],4))</f>
        <v>#N/A</v>
      </c>
      <c r="M641">
        <v>1</v>
      </c>
      <c r="N641" t="e">
        <f t="shared" si="46"/>
        <v>#N/A</v>
      </c>
      <c r="O641" t="str">
        <f t="shared" si="47"/>
        <v/>
      </c>
      <c r="P641" t="str">
        <f t="shared" si="48"/>
        <v/>
      </c>
      <c r="Q641" t="str">
        <f t="shared" si="49"/>
        <v/>
      </c>
      <c r="R641">
        <v>1</v>
      </c>
    </row>
    <row r="642" spans="1:18">
      <c r="A642">
        <f>'PSP Data'!A645</f>
        <v>0</v>
      </c>
      <c r="B642" t="str">
        <f>IF('PSP Data'!B645=0,"",'PSP Data'!B645)</f>
        <v/>
      </c>
      <c r="C642">
        <f>'PSP Data'!C645</f>
        <v>0</v>
      </c>
      <c r="D642">
        <f>'PSP Data'!D645</f>
        <v>0</v>
      </c>
      <c r="E642">
        <f>'PSP Data'!E645</f>
        <v>0</v>
      </c>
      <c r="F642">
        <f>'PSP Data'!F645</f>
        <v>0</v>
      </c>
      <c r="G642">
        <f>'PSP Data'!G645</f>
        <v>0</v>
      </c>
      <c r="H642">
        <f>'PSP Data'!H645</f>
        <v>0</v>
      </c>
      <c r="I642">
        <f>'PSP Data'!I645</f>
        <v>0</v>
      </c>
      <c r="J642" s="29" t="e">
        <f t="shared" si="45"/>
        <v>#N/A</v>
      </c>
      <c r="K642" s="29" t="e">
        <f>IF(AND((A642&lt;'PSP Data'!$C$11),(A642&lt;&gt;0)),Analysis!C642,#N/A)</f>
        <v>#N/A</v>
      </c>
      <c r="L642" t="e">
        <f>IF(VLOOKUP(B642,Table1[],4)=0,"unknown", VLOOKUP(B642,Table1[],4))</f>
        <v>#N/A</v>
      </c>
      <c r="M642">
        <v>1</v>
      </c>
      <c r="N642" t="e">
        <f t="shared" si="46"/>
        <v>#N/A</v>
      </c>
      <c r="O642" t="str">
        <f t="shared" si="47"/>
        <v/>
      </c>
      <c r="P642" t="str">
        <f t="shared" si="48"/>
        <v/>
      </c>
      <c r="Q642" t="str">
        <f t="shared" si="49"/>
        <v/>
      </c>
      <c r="R642">
        <v>1</v>
      </c>
    </row>
    <row r="643" spans="1:18">
      <c r="A643">
        <f>'PSP Data'!A646</f>
        <v>0</v>
      </c>
      <c r="B643" t="str">
        <f>IF('PSP Data'!B646=0,"",'PSP Data'!B646)</f>
        <v/>
      </c>
      <c r="C643">
        <f>'PSP Data'!C646</f>
        <v>0</v>
      </c>
      <c r="D643">
        <f>'PSP Data'!D646</f>
        <v>0</v>
      </c>
      <c r="E643">
        <f>'PSP Data'!E646</f>
        <v>0</v>
      </c>
      <c r="F643">
        <f>'PSP Data'!F646</f>
        <v>0</v>
      </c>
      <c r="G643">
        <f>'PSP Data'!G646</f>
        <v>0</v>
      </c>
      <c r="H643">
        <f>'PSP Data'!H646</f>
        <v>0</v>
      </c>
      <c r="I643">
        <f>'PSP Data'!I646</f>
        <v>0</v>
      </c>
      <c r="J643" s="29" t="e">
        <f t="shared" si="45"/>
        <v>#N/A</v>
      </c>
      <c r="K643" s="29" t="e">
        <f>IF(AND((A643&lt;'PSP Data'!$C$11),(A643&lt;&gt;0)),Analysis!C643,#N/A)</f>
        <v>#N/A</v>
      </c>
      <c r="L643" t="e">
        <f>IF(VLOOKUP(B643,Table1[],4)=0,"unknown", VLOOKUP(B643,Table1[],4))</f>
        <v>#N/A</v>
      </c>
      <c r="M643">
        <v>1</v>
      </c>
      <c r="N643" t="e">
        <f t="shared" si="46"/>
        <v>#N/A</v>
      </c>
      <c r="O643" t="str">
        <f t="shared" si="47"/>
        <v/>
      </c>
      <c r="P643" t="str">
        <f t="shared" si="48"/>
        <v/>
      </c>
      <c r="Q643" t="str">
        <f t="shared" si="49"/>
        <v/>
      </c>
      <c r="R643">
        <v>1</v>
      </c>
    </row>
    <row r="644" spans="1:18">
      <c r="A644">
        <f>'PSP Data'!A647</f>
        <v>0</v>
      </c>
      <c r="B644" t="str">
        <f>IF('PSP Data'!B647=0,"",'PSP Data'!B647)</f>
        <v/>
      </c>
      <c r="C644">
        <f>'PSP Data'!C647</f>
        <v>0</v>
      </c>
      <c r="D644">
        <f>'PSP Data'!D647</f>
        <v>0</v>
      </c>
      <c r="E644">
        <f>'PSP Data'!E647</f>
        <v>0</v>
      </c>
      <c r="F644">
        <f>'PSP Data'!F647</f>
        <v>0</v>
      </c>
      <c r="G644">
        <f>'PSP Data'!G647</f>
        <v>0</v>
      </c>
      <c r="H644">
        <f>'PSP Data'!H647</f>
        <v>0</v>
      </c>
      <c r="I644">
        <f>'PSP Data'!I647</f>
        <v>0</v>
      </c>
      <c r="J644" s="29" t="e">
        <f t="shared" si="45"/>
        <v>#N/A</v>
      </c>
      <c r="K644" s="29" t="e">
        <f>IF(AND((A644&lt;'PSP Data'!$C$11),(A644&lt;&gt;0)),Analysis!C644,#N/A)</f>
        <v>#N/A</v>
      </c>
      <c r="L644" t="e">
        <f>IF(VLOOKUP(B644,Table1[],4)=0,"unknown", VLOOKUP(B644,Table1[],4))</f>
        <v>#N/A</v>
      </c>
      <c r="M644">
        <v>1</v>
      </c>
      <c r="N644" t="e">
        <f t="shared" si="46"/>
        <v>#N/A</v>
      </c>
      <c r="O644" t="str">
        <f t="shared" si="47"/>
        <v/>
      </c>
      <c r="P644" t="str">
        <f t="shared" si="48"/>
        <v/>
      </c>
      <c r="Q644" t="str">
        <f t="shared" si="49"/>
        <v/>
      </c>
      <c r="R644">
        <v>1</v>
      </c>
    </row>
    <row r="645" spans="1:18">
      <c r="A645">
        <f>'PSP Data'!A648</f>
        <v>0</v>
      </c>
      <c r="B645" t="str">
        <f>IF('PSP Data'!B648=0,"",'PSP Data'!B648)</f>
        <v/>
      </c>
      <c r="C645">
        <f>'PSP Data'!C648</f>
        <v>0</v>
      </c>
      <c r="D645">
        <f>'PSP Data'!D648</f>
        <v>0</v>
      </c>
      <c r="E645">
        <f>'PSP Data'!E648</f>
        <v>0</v>
      </c>
      <c r="F645">
        <f>'PSP Data'!F648</f>
        <v>0</v>
      </c>
      <c r="G645">
        <f>'PSP Data'!G648</f>
        <v>0</v>
      </c>
      <c r="H645">
        <f>'PSP Data'!H648</f>
        <v>0</v>
      </c>
      <c r="I645">
        <f>'PSP Data'!I648</f>
        <v>0</v>
      </c>
      <c r="J645" s="29" t="e">
        <f t="shared" si="45"/>
        <v>#N/A</v>
      </c>
      <c r="K645" s="29" t="e">
        <f>IF(AND((A645&lt;'PSP Data'!$C$11),(A645&lt;&gt;0)),Analysis!C645,#N/A)</f>
        <v>#N/A</v>
      </c>
      <c r="L645" t="e">
        <f>IF(VLOOKUP(B645,Table1[],4)=0,"unknown", VLOOKUP(B645,Table1[],4))</f>
        <v>#N/A</v>
      </c>
      <c r="M645">
        <v>1</v>
      </c>
      <c r="N645" t="e">
        <f t="shared" si="46"/>
        <v>#N/A</v>
      </c>
      <c r="O645" t="str">
        <f t="shared" si="47"/>
        <v/>
      </c>
      <c r="P645" t="str">
        <f t="shared" si="48"/>
        <v/>
      </c>
      <c r="Q645" t="str">
        <f t="shared" si="49"/>
        <v/>
      </c>
      <c r="R645">
        <v>1</v>
      </c>
    </row>
    <row r="646" spans="1:18">
      <c r="A646">
        <f>'PSP Data'!A649</f>
        <v>0</v>
      </c>
      <c r="B646" t="str">
        <f>IF('PSP Data'!B649=0,"",'PSP Data'!B649)</f>
        <v/>
      </c>
      <c r="C646">
        <f>'PSP Data'!C649</f>
        <v>0</v>
      </c>
      <c r="D646">
        <f>'PSP Data'!D649</f>
        <v>0</v>
      </c>
      <c r="E646">
        <f>'PSP Data'!E649</f>
        <v>0</v>
      </c>
      <c r="F646">
        <f>'PSP Data'!F649</f>
        <v>0</v>
      </c>
      <c r="G646">
        <f>'PSP Data'!G649</f>
        <v>0</v>
      </c>
      <c r="H646">
        <f>'PSP Data'!H649</f>
        <v>0</v>
      </c>
      <c r="I646">
        <f>'PSP Data'!I649</f>
        <v>0</v>
      </c>
      <c r="J646" s="29" t="e">
        <f t="shared" si="45"/>
        <v>#N/A</v>
      </c>
      <c r="K646" s="29" t="e">
        <f>IF(AND((A646&lt;'PSP Data'!$C$11),(A646&lt;&gt;0)),Analysis!C646,#N/A)</f>
        <v>#N/A</v>
      </c>
      <c r="L646" t="e">
        <f>IF(VLOOKUP(B646,Table1[],4)=0,"unknown", VLOOKUP(B646,Table1[],4))</f>
        <v>#N/A</v>
      </c>
      <c r="M646">
        <v>1</v>
      </c>
      <c r="N646" t="e">
        <f t="shared" si="46"/>
        <v>#N/A</v>
      </c>
      <c r="O646" t="str">
        <f t="shared" si="47"/>
        <v/>
      </c>
      <c r="P646" t="str">
        <f t="shared" si="48"/>
        <v/>
      </c>
      <c r="Q646" t="str">
        <f t="shared" si="49"/>
        <v/>
      </c>
      <c r="R646">
        <v>1</v>
      </c>
    </row>
    <row r="647" spans="1:18">
      <c r="A647">
        <f>'PSP Data'!A650</f>
        <v>0</v>
      </c>
      <c r="B647" t="str">
        <f>IF('PSP Data'!B650=0,"",'PSP Data'!B650)</f>
        <v/>
      </c>
      <c r="C647">
        <f>'PSP Data'!C650</f>
        <v>0</v>
      </c>
      <c r="D647">
        <f>'PSP Data'!D650</f>
        <v>0</v>
      </c>
      <c r="E647">
        <f>'PSP Data'!E650</f>
        <v>0</v>
      </c>
      <c r="F647">
        <f>'PSP Data'!F650</f>
        <v>0</v>
      </c>
      <c r="G647">
        <f>'PSP Data'!G650</f>
        <v>0</v>
      </c>
      <c r="H647">
        <f>'PSP Data'!H650</f>
        <v>0</v>
      </c>
      <c r="I647">
        <f>'PSP Data'!I650</f>
        <v>0</v>
      </c>
      <c r="J647" s="29" t="e">
        <f t="shared" si="45"/>
        <v>#N/A</v>
      </c>
      <c r="K647" s="29" t="e">
        <f>IF(AND((A647&lt;'PSP Data'!$C$11),(A647&lt;&gt;0)),Analysis!C647,#N/A)</f>
        <v>#N/A</v>
      </c>
      <c r="L647" t="e">
        <f>IF(VLOOKUP(B647,Table1[],4)=0,"unknown", VLOOKUP(B647,Table1[],4))</f>
        <v>#N/A</v>
      </c>
      <c r="M647">
        <v>1</v>
      </c>
      <c r="N647" t="e">
        <f t="shared" si="46"/>
        <v>#N/A</v>
      </c>
      <c r="O647" t="str">
        <f t="shared" si="47"/>
        <v/>
      </c>
      <c r="P647" t="str">
        <f t="shared" si="48"/>
        <v/>
      </c>
      <c r="Q647" t="str">
        <f t="shared" si="49"/>
        <v/>
      </c>
      <c r="R647">
        <v>1</v>
      </c>
    </row>
    <row r="648" spans="1:18">
      <c r="A648">
        <f>'PSP Data'!A651</f>
        <v>0</v>
      </c>
      <c r="B648" t="str">
        <f>IF('PSP Data'!B651=0,"",'PSP Data'!B651)</f>
        <v/>
      </c>
      <c r="C648">
        <f>'PSP Data'!C651</f>
        <v>0</v>
      </c>
      <c r="D648">
        <f>'PSP Data'!D651</f>
        <v>0</v>
      </c>
      <c r="E648">
        <f>'PSP Data'!E651</f>
        <v>0</v>
      </c>
      <c r="F648">
        <f>'PSP Data'!F651</f>
        <v>0</v>
      </c>
      <c r="G648">
        <f>'PSP Data'!G651</f>
        <v>0</v>
      </c>
      <c r="H648">
        <f>'PSP Data'!H651</f>
        <v>0</v>
      </c>
      <c r="I648">
        <f>'PSP Data'!I651</f>
        <v>0</v>
      </c>
      <c r="J648" s="29" t="e">
        <f t="shared" si="45"/>
        <v>#N/A</v>
      </c>
      <c r="K648" s="29" t="e">
        <f>IF(AND((A648&lt;'PSP Data'!$C$11),(A648&lt;&gt;0)),Analysis!C648,#N/A)</f>
        <v>#N/A</v>
      </c>
      <c r="L648" t="e">
        <f>IF(VLOOKUP(B648,Table1[],4)=0,"unknown", VLOOKUP(B648,Table1[],4))</f>
        <v>#N/A</v>
      </c>
      <c r="M648">
        <v>1</v>
      </c>
      <c r="N648" t="e">
        <f t="shared" si="46"/>
        <v>#N/A</v>
      </c>
      <c r="O648" t="str">
        <f t="shared" si="47"/>
        <v/>
      </c>
      <c r="P648" t="str">
        <f t="shared" si="48"/>
        <v/>
      </c>
      <c r="Q648" t="str">
        <f t="shared" si="49"/>
        <v/>
      </c>
      <c r="R648">
        <v>1</v>
      </c>
    </row>
    <row r="649" spans="1:18">
      <c r="A649">
        <f>'PSP Data'!A652</f>
        <v>0</v>
      </c>
      <c r="B649" t="str">
        <f>IF('PSP Data'!B652=0,"",'PSP Data'!B652)</f>
        <v/>
      </c>
      <c r="C649">
        <f>'PSP Data'!C652</f>
        <v>0</v>
      </c>
      <c r="D649">
        <f>'PSP Data'!D652</f>
        <v>0</v>
      </c>
      <c r="E649">
        <f>'PSP Data'!E652</f>
        <v>0</v>
      </c>
      <c r="F649">
        <f>'PSP Data'!F652</f>
        <v>0</v>
      </c>
      <c r="G649">
        <f>'PSP Data'!G652</f>
        <v>0</v>
      </c>
      <c r="H649">
        <f>'PSP Data'!H652</f>
        <v>0</v>
      </c>
      <c r="I649">
        <f>'PSP Data'!I652</f>
        <v>0</v>
      </c>
      <c r="J649" s="29" t="e">
        <f t="shared" si="45"/>
        <v>#N/A</v>
      </c>
      <c r="K649" s="29" t="e">
        <f>IF(AND((A649&lt;'PSP Data'!$C$11),(A649&lt;&gt;0)),Analysis!C649,#N/A)</f>
        <v>#N/A</v>
      </c>
      <c r="L649" t="e">
        <f>IF(VLOOKUP(B649,Table1[],4)=0,"unknown", VLOOKUP(B649,Table1[],4))</f>
        <v>#N/A</v>
      </c>
      <c r="M649">
        <v>1</v>
      </c>
      <c r="N649" t="e">
        <f t="shared" si="46"/>
        <v>#N/A</v>
      </c>
      <c r="O649" t="str">
        <f t="shared" si="47"/>
        <v/>
      </c>
      <c r="P649" t="str">
        <f t="shared" si="48"/>
        <v/>
      </c>
      <c r="Q649" t="str">
        <f t="shared" si="49"/>
        <v/>
      </c>
      <c r="R649">
        <v>1</v>
      </c>
    </row>
    <row r="650" spans="1:18">
      <c r="A650">
        <f>'PSP Data'!A653</f>
        <v>0</v>
      </c>
      <c r="B650" t="str">
        <f>IF('PSP Data'!B653=0,"",'PSP Data'!B653)</f>
        <v/>
      </c>
      <c r="C650">
        <f>'PSP Data'!C653</f>
        <v>0</v>
      </c>
      <c r="D650">
        <f>'PSP Data'!D653</f>
        <v>0</v>
      </c>
      <c r="E650">
        <f>'PSP Data'!E653</f>
        <v>0</v>
      </c>
      <c r="F650">
        <f>'PSP Data'!F653</f>
        <v>0</v>
      </c>
      <c r="G650">
        <f>'PSP Data'!G653</f>
        <v>0</v>
      </c>
      <c r="H650">
        <f>'PSP Data'!H653</f>
        <v>0</v>
      </c>
      <c r="I650">
        <f>'PSP Data'!I653</f>
        <v>0</v>
      </c>
      <c r="J650" s="29" t="e">
        <f t="shared" si="45"/>
        <v>#N/A</v>
      </c>
      <c r="K650" s="29" t="e">
        <f>IF(AND((A650&lt;'PSP Data'!$C$11),(A650&lt;&gt;0)),Analysis!C650,#N/A)</f>
        <v>#N/A</v>
      </c>
      <c r="L650" t="e">
        <f>IF(VLOOKUP(B650,Table1[],4)=0,"unknown", VLOOKUP(B650,Table1[],4))</f>
        <v>#N/A</v>
      </c>
      <c r="M650">
        <v>1</v>
      </c>
      <c r="N650" t="e">
        <f t="shared" si="46"/>
        <v>#N/A</v>
      </c>
      <c r="O650" t="str">
        <f t="shared" si="47"/>
        <v/>
      </c>
      <c r="P650" t="str">
        <f t="shared" si="48"/>
        <v/>
      </c>
      <c r="Q650" t="str">
        <f t="shared" si="49"/>
        <v/>
      </c>
      <c r="R650">
        <v>1</v>
      </c>
    </row>
    <row r="651" spans="1:18">
      <c r="A651">
        <f>'PSP Data'!A654</f>
        <v>0</v>
      </c>
      <c r="B651" t="str">
        <f>IF('PSP Data'!B654=0,"",'PSP Data'!B654)</f>
        <v/>
      </c>
      <c r="C651">
        <f>'PSP Data'!C654</f>
        <v>0</v>
      </c>
      <c r="D651">
        <f>'PSP Data'!D654</f>
        <v>0</v>
      </c>
      <c r="E651">
        <f>'PSP Data'!E654</f>
        <v>0</v>
      </c>
      <c r="F651">
        <f>'PSP Data'!F654</f>
        <v>0</v>
      </c>
      <c r="G651">
        <f>'PSP Data'!G654</f>
        <v>0</v>
      </c>
      <c r="H651">
        <f>'PSP Data'!H654</f>
        <v>0</v>
      </c>
      <c r="I651">
        <f>'PSP Data'!I654</f>
        <v>0</v>
      </c>
      <c r="J651" s="29" t="e">
        <f t="shared" si="45"/>
        <v>#N/A</v>
      </c>
      <c r="K651" s="29" t="e">
        <f>IF(AND((A651&lt;'PSP Data'!$C$11),(A651&lt;&gt;0)),Analysis!C651,#N/A)</f>
        <v>#N/A</v>
      </c>
      <c r="L651" t="e">
        <f>IF(VLOOKUP(B651,Table1[],4)=0,"unknown", VLOOKUP(B651,Table1[],4))</f>
        <v>#N/A</v>
      </c>
      <c r="M651">
        <v>1</v>
      </c>
      <c r="N651" t="e">
        <f t="shared" si="46"/>
        <v>#N/A</v>
      </c>
      <c r="O651" t="str">
        <f t="shared" si="47"/>
        <v/>
      </c>
      <c r="P651" t="str">
        <f t="shared" si="48"/>
        <v/>
      </c>
      <c r="Q651" t="str">
        <f t="shared" si="49"/>
        <v/>
      </c>
      <c r="R651">
        <v>1</v>
      </c>
    </row>
    <row r="652" spans="1:18">
      <c r="A652">
        <f>'PSP Data'!A704</f>
        <v>0</v>
      </c>
      <c r="B652" t="str">
        <f>IF('PSP Data'!B655=0,"",'PSP Data'!B655)</f>
        <v/>
      </c>
      <c r="C652">
        <f>'PSP Data'!C655</f>
        <v>0</v>
      </c>
      <c r="D652">
        <f>'PSP Data'!D655</f>
        <v>0</v>
      </c>
      <c r="E652">
        <f>'PSP Data'!E655</f>
        <v>0</v>
      </c>
      <c r="F652">
        <f>'PSP Data'!F655</f>
        <v>0</v>
      </c>
      <c r="G652">
        <f>'PSP Data'!G655</f>
        <v>0</v>
      </c>
      <c r="H652">
        <f>'PSP Data'!H655</f>
        <v>0</v>
      </c>
      <c r="I652">
        <f>'PSP Data'!I655</f>
        <v>0</v>
      </c>
      <c r="J652" s="29" t="e">
        <f t="shared" si="45"/>
        <v>#N/A</v>
      </c>
      <c r="K652" s="29" t="e">
        <f>IF(AND((A652&lt;'PSP Data'!$C$11),(A652&lt;&gt;0)),Analysis!C652,#N/A)</f>
        <v>#N/A</v>
      </c>
      <c r="L652" t="e">
        <f>IF(VLOOKUP(B652,Table1[],4)=0,"unknown", VLOOKUP(B652,Table1[],4))</f>
        <v>#N/A</v>
      </c>
      <c r="M652">
        <v>1</v>
      </c>
      <c r="N652" t="e">
        <f t="shared" si="46"/>
        <v>#N/A</v>
      </c>
      <c r="O652" t="str">
        <f t="shared" si="47"/>
        <v/>
      </c>
      <c r="P652" t="str">
        <f t="shared" si="48"/>
        <v/>
      </c>
      <c r="Q652" t="str">
        <f t="shared" si="49"/>
        <v/>
      </c>
      <c r="R652">
        <v>1</v>
      </c>
    </row>
    <row r="653" spans="1:18">
      <c r="A653">
        <f>'PSP Data'!A656</f>
        <v>0</v>
      </c>
      <c r="B653" t="str">
        <f>IF('PSP Data'!B656=0,"",'PSP Data'!B656)</f>
        <v/>
      </c>
      <c r="C653">
        <f>'PSP Data'!C656</f>
        <v>0</v>
      </c>
      <c r="D653">
        <f>'PSP Data'!D656</f>
        <v>0</v>
      </c>
      <c r="E653">
        <f>'PSP Data'!E656</f>
        <v>0</v>
      </c>
      <c r="F653">
        <f>'PSP Data'!F656</f>
        <v>0</v>
      </c>
      <c r="G653">
        <f>'PSP Data'!G656</f>
        <v>0</v>
      </c>
      <c r="H653">
        <f>'PSP Data'!H656</f>
        <v>0</v>
      </c>
      <c r="I653">
        <f>'PSP Data'!I656</f>
        <v>0</v>
      </c>
      <c r="J653" s="29" t="e">
        <f t="shared" si="45"/>
        <v>#N/A</v>
      </c>
      <c r="K653" s="29" t="e">
        <f>IF(AND((A653&lt;'PSP Data'!$C$11),(A653&lt;&gt;0)),Analysis!C653,#N/A)</f>
        <v>#N/A</v>
      </c>
      <c r="L653" t="e">
        <f>IF(VLOOKUP(B653,Table1[],4)=0,"unknown", VLOOKUP(B653,Table1[],4))</f>
        <v>#N/A</v>
      </c>
      <c r="M653">
        <v>1</v>
      </c>
      <c r="N653" t="e">
        <f t="shared" si="46"/>
        <v>#N/A</v>
      </c>
      <c r="O653" t="str">
        <f t="shared" si="47"/>
        <v/>
      </c>
      <c r="P653" t="str">
        <f t="shared" si="48"/>
        <v/>
      </c>
      <c r="Q653" t="str">
        <f t="shared" si="49"/>
        <v/>
      </c>
      <c r="R653">
        <v>1</v>
      </c>
    </row>
    <row r="654" spans="1:18">
      <c r="A654">
        <f>'PSP Data'!A657</f>
        <v>0</v>
      </c>
      <c r="B654" t="str">
        <f>IF('PSP Data'!B657=0,"",'PSP Data'!B657)</f>
        <v/>
      </c>
      <c r="C654">
        <f>'PSP Data'!C657</f>
        <v>0</v>
      </c>
      <c r="D654">
        <f>'PSP Data'!D657</f>
        <v>0</v>
      </c>
      <c r="E654">
        <f>'PSP Data'!E657</f>
        <v>0</v>
      </c>
      <c r="F654">
        <f>'PSP Data'!F657</f>
        <v>0</v>
      </c>
      <c r="G654">
        <f>'PSP Data'!G657</f>
        <v>0</v>
      </c>
      <c r="H654">
        <f>'PSP Data'!H657</f>
        <v>0</v>
      </c>
      <c r="I654">
        <f>'PSP Data'!I657</f>
        <v>0</v>
      </c>
      <c r="J654" s="29" t="e">
        <f t="shared" si="45"/>
        <v>#N/A</v>
      </c>
      <c r="K654" s="29" t="e">
        <f>IF(AND((A654&lt;'PSP Data'!$C$11),(A654&lt;&gt;0)),Analysis!C654,#N/A)</f>
        <v>#N/A</v>
      </c>
      <c r="L654" t="e">
        <f>IF(VLOOKUP(B654,Table1[],4)=0,"unknown", VLOOKUP(B654,Table1[],4))</f>
        <v>#N/A</v>
      </c>
      <c r="M654">
        <v>1</v>
      </c>
      <c r="N654" t="e">
        <f t="shared" si="46"/>
        <v>#N/A</v>
      </c>
      <c r="O654" t="str">
        <f t="shared" si="47"/>
        <v/>
      </c>
      <c r="P654" t="str">
        <f t="shared" si="48"/>
        <v/>
      </c>
      <c r="Q654" t="str">
        <f t="shared" si="49"/>
        <v/>
      </c>
      <c r="R654">
        <v>1</v>
      </c>
    </row>
    <row r="655" spans="1:18">
      <c r="A655">
        <f>'PSP Data'!A658</f>
        <v>0</v>
      </c>
      <c r="B655" t="str">
        <f>IF('PSP Data'!B658=0,"",'PSP Data'!B658)</f>
        <v/>
      </c>
      <c r="C655">
        <f>'PSP Data'!C658</f>
        <v>0</v>
      </c>
      <c r="D655">
        <f>'PSP Data'!D658</f>
        <v>0</v>
      </c>
      <c r="E655">
        <f>'PSP Data'!E658</f>
        <v>0</v>
      </c>
      <c r="F655">
        <f>'PSP Data'!F658</f>
        <v>0</v>
      </c>
      <c r="G655">
        <f>'PSP Data'!G658</f>
        <v>0</v>
      </c>
      <c r="H655">
        <f>'PSP Data'!H658</f>
        <v>0</v>
      </c>
      <c r="I655">
        <f>'PSP Data'!I658</f>
        <v>0</v>
      </c>
      <c r="J655" s="29" t="e">
        <f t="shared" si="45"/>
        <v>#N/A</v>
      </c>
      <c r="K655" s="29" t="e">
        <f>IF(AND((A655&lt;'PSP Data'!$C$11),(A655&lt;&gt;0)),Analysis!C655,#N/A)</f>
        <v>#N/A</v>
      </c>
      <c r="L655" t="e">
        <f>IF(VLOOKUP(B655,Table1[],4)=0,"unknown", VLOOKUP(B655,Table1[],4))</f>
        <v>#N/A</v>
      </c>
      <c r="M655">
        <v>1</v>
      </c>
      <c r="N655" t="e">
        <f t="shared" si="46"/>
        <v>#N/A</v>
      </c>
      <c r="O655" t="str">
        <f t="shared" si="47"/>
        <v/>
      </c>
      <c r="P655" t="str">
        <f t="shared" si="48"/>
        <v/>
      </c>
      <c r="Q655" t="str">
        <f t="shared" si="49"/>
        <v/>
      </c>
      <c r="R655">
        <v>1</v>
      </c>
    </row>
    <row r="656" spans="1:18">
      <c r="A656">
        <f>'PSP Data'!A659</f>
        <v>0</v>
      </c>
      <c r="B656" t="str">
        <f>IF('PSP Data'!B659=0,"",'PSP Data'!B659)</f>
        <v/>
      </c>
      <c r="C656">
        <f>'PSP Data'!C659</f>
        <v>0</v>
      </c>
      <c r="D656">
        <f>'PSP Data'!D659</f>
        <v>0</v>
      </c>
      <c r="E656">
        <f>'PSP Data'!E659</f>
        <v>0</v>
      </c>
      <c r="F656">
        <f>'PSP Data'!F659</f>
        <v>0</v>
      </c>
      <c r="G656">
        <f>'PSP Data'!G659</f>
        <v>0</v>
      </c>
      <c r="H656">
        <f>'PSP Data'!H659</f>
        <v>0</v>
      </c>
      <c r="I656">
        <f>'PSP Data'!I659</f>
        <v>0</v>
      </c>
      <c r="J656" s="29" t="e">
        <f t="shared" si="45"/>
        <v>#N/A</v>
      </c>
      <c r="K656" s="29" t="e">
        <f>IF(AND((A656&lt;'PSP Data'!$C$11),(A656&lt;&gt;0)),Analysis!C656,#N/A)</f>
        <v>#N/A</v>
      </c>
      <c r="L656" t="e">
        <f>IF(VLOOKUP(B656,Table1[],4)=0,"unknown", VLOOKUP(B656,Table1[],4))</f>
        <v>#N/A</v>
      </c>
      <c r="M656">
        <v>1</v>
      </c>
      <c r="N656" t="e">
        <f t="shared" si="46"/>
        <v>#N/A</v>
      </c>
      <c r="O656" t="str">
        <f t="shared" si="47"/>
        <v/>
      </c>
      <c r="P656" t="str">
        <f t="shared" si="48"/>
        <v/>
      </c>
      <c r="Q656" t="str">
        <f t="shared" si="49"/>
        <v/>
      </c>
      <c r="R656">
        <v>1</v>
      </c>
    </row>
    <row r="657" spans="1:18">
      <c r="A657">
        <f>'PSP Data'!A660</f>
        <v>0</v>
      </c>
      <c r="B657" t="str">
        <f>IF('PSP Data'!B660=0,"",'PSP Data'!B660)</f>
        <v/>
      </c>
      <c r="C657">
        <f>'PSP Data'!C660</f>
        <v>0</v>
      </c>
      <c r="D657">
        <f>'PSP Data'!D660</f>
        <v>0</v>
      </c>
      <c r="E657">
        <f>'PSP Data'!E660</f>
        <v>0</v>
      </c>
      <c r="F657">
        <f>'PSP Data'!F660</f>
        <v>0</v>
      </c>
      <c r="G657">
        <f>'PSP Data'!G660</f>
        <v>0</v>
      </c>
      <c r="H657">
        <f>'PSP Data'!H660</f>
        <v>0</v>
      </c>
      <c r="I657">
        <f>'PSP Data'!I660</f>
        <v>0</v>
      </c>
      <c r="J657" s="29" t="e">
        <f t="shared" si="45"/>
        <v>#N/A</v>
      </c>
      <c r="K657" s="29" t="e">
        <f>IF(AND((A657&lt;'PSP Data'!$C$11),(A657&lt;&gt;0)),Analysis!C657,#N/A)</f>
        <v>#N/A</v>
      </c>
      <c r="L657" t="e">
        <f>IF(VLOOKUP(B657,Table1[],4)=0,"unknown", VLOOKUP(B657,Table1[],4))</f>
        <v>#N/A</v>
      </c>
      <c r="M657">
        <v>1</v>
      </c>
      <c r="N657" t="e">
        <f t="shared" si="46"/>
        <v>#N/A</v>
      </c>
      <c r="O657" t="str">
        <f t="shared" si="47"/>
        <v/>
      </c>
      <c r="P657" t="str">
        <f t="shared" si="48"/>
        <v/>
      </c>
      <c r="Q657" t="str">
        <f t="shared" si="49"/>
        <v/>
      </c>
      <c r="R657">
        <v>1</v>
      </c>
    </row>
    <row r="658" spans="1:18">
      <c r="A658">
        <f>'PSP Data'!A661</f>
        <v>0</v>
      </c>
      <c r="B658" t="str">
        <f>IF('PSP Data'!B661=0,"",'PSP Data'!B661)</f>
        <v/>
      </c>
      <c r="C658">
        <f>'PSP Data'!C661</f>
        <v>0</v>
      </c>
      <c r="D658">
        <f>'PSP Data'!D661</f>
        <v>0</v>
      </c>
      <c r="E658">
        <f>'PSP Data'!E661</f>
        <v>0</v>
      </c>
      <c r="F658">
        <f>'PSP Data'!F661</f>
        <v>0</v>
      </c>
      <c r="G658">
        <f>'PSP Data'!G661</f>
        <v>0</v>
      </c>
      <c r="H658">
        <f>'PSP Data'!H661</f>
        <v>0</v>
      </c>
      <c r="I658">
        <f>'PSP Data'!I661</f>
        <v>0</v>
      </c>
      <c r="J658" s="29" t="e">
        <f t="shared" si="45"/>
        <v>#N/A</v>
      </c>
      <c r="K658" s="29" t="e">
        <f>IF(AND((A658&lt;'PSP Data'!$C$11),(A658&lt;&gt;0)),Analysis!C658,#N/A)</f>
        <v>#N/A</v>
      </c>
      <c r="L658" t="e">
        <f>IF(VLOOKUP(B658,Table1[],4)=0,"unknown", VLOOKUP(B658,Table1[],4))</f>
        <v>#N/A</v>
      </c>
      <c r="M658">
        <v>1</v>
      </c>
      <c r="N658" t="e">
        <f t="shared" si="46"/>
        <v>#N/A</v>
      </c>
      <c r="O658" t="str">
        <f t="shared" si="47"/>
        <v/>
      </c>
      <c r="P658" t="str">
        <f t="shared" si="48"/>
        <v/>
      </c>
      <c r="Q658" t="str">
        <f t="shared" si="49"/>
        <v/>
      </c>
      <c r="R658">
        <v>1</v>
      </c>
    </row>
    <row r="659" spans="1:18">
      <c r="A659">
        <f>'PSP Data'!A662</f>
        <v>0</v>
      </c>
      <c r="B659" t="str">
        <f>IF('PSP Data'!B662=0,"",'PSP Data'!B662)</f>
        <v/>
      </c>
      <c r="C659">
        <f>'PSP Data'!C662</f>
        <v>0</v>
      </c>
      <c r="D659">
        <f>'PSP Data'!D662</f>
        <v>0</v>
      </c>
      <c r="E659">
        <f>'PSP Data'!E662</f>
        <v>0</v>
      </c>
      <c r="F659">
        <f>'PSP Data'!F662</f>
        <v>0</v>
      </c>
      <c r="G659">
        <f>'PSP Data'!G662</f>
        <v>0</v>
      </c>
      <c r="H659">
        <f>'PSP Data'!H662</f>
        <v>0</v>
      </c>
      <c r="I659">
        <f>'PSP Data'!I662</f>
        <v>0</v>
      </c>
      <c r="J659" s="29" t="e">
        <f t="shared" si="45"/>
        <v>#N/A</v>
      </c>
      <c r="K659" s="29" t="e">
        <f>IF(AND((A659&lt;'PSP Data'!$C$11),(A659&lt;&gt;0)),Analysis!C659,#N/A)</f>
        <v>#N/A</v>
      </c>
      <c r="L659" t="e">
        <f>IF(VLOOKUP(B659,Table1[],4)=0,"unknown", VLOOKUP(B659,Table1[],4))</f>
        <v>#N/A</v>
      </c>
      <c r="M659">
        <v>1</v>
      </c>
      <c r="N659" t="e">
        <f t="shared" si="46"/>
        <v>#N/A</v>
      </c>
      <c r="O659" t="str">
        <f t="shared" si="47"/>
        <v/>
      </c>
      <c r="P659" t="str">
        <f t="shared" si="48"/>
        <v/>
      </c>
      <c r="Q659" t="str">
        <f t="shared" si="49"/>
        <v/>
      </c>
      <c r="R659">
        <v>1</v>
      </c>
    </row>
    <row r="660" spans="1:18">
      <c r="A660">
        <f>'PSP Data'!A663</f>
        <v>0</v>
      </c>
      <c r="B660" t="str">
        <f>IF('PSP Data'!B663=0,"",'PSP Data'!B663)</f>
        <v/>
      </c>
      <c r="C660">
        <f>'PSP Data'!C663</f>
        <v>0</v>
      </c>
      <c r="D660">
        <f>'PSP Data'!D663</f>
        <v>0</v>
      </c>
      <c r="E660">
        <f>'PSP Data'!E663</f>
        <v>0</v>
      </c>
      <c r="F660">
        <f>'PSP Data'!F663</f>
        <v>0</v>
      </c>
      <c r="G660">
        <f>'PSP Data'!G663</f>
        <v>0</v>
      </c>
      <c r="H660">
        <f>'PSP Data'!H663</f>
        <v>0</v>
      </c>
      <c r="I660">
        <f>'PSP Data'!I663</f>
        <v>0</v>
      </c>
      <c r="J660" s="29" t="e">
        <f t="shared" si="45"/>
        <v>#N/A</v>
      </c>
      <c r="K660" s="29" t="e">
        <f>IF(AND((A660&lt;'PSP Data'!$C$11),(A660&lt;&gt;0)),Analysis!C660,#N/A)</f>
        <v>#N/A</v>
      </c>
      <c r="L660" t="e">
        <f>IF(VLOOKUP(B660,Table1[],4)=0,"unknown", VLOOKUP(B660,Table1[],4))</f>
        <v>#N/A</v>
      </c>
      <c r="M660">
        <v>1</v>
      </c>
      <c r="N660" t="e">
        <f t="shared" si="46"/>
        <v>#N/A</v>
      </c>
      <c r="O660" t="str">
        <f t="shared" si="47"/>
        <v/>
      </c>
      <c r="P660" t="str">
        <f t="shared" si="48"/>
        <v/>
      </c>
      <c r="Q660" t="str">
        <f t="shared" si="49"/>
        <v/>
      </c>
      <c r="R660">
        <v>1</v>
      </c>
    </row>
    <row r="661" spans="1:18">
      <c r="A661">
        <f>'PSP Data'!A664</f>
        <v>0</v>
      </c>
      <c r="B661" t="str">
        <f>IF('PSP Data'!B664=0,"",'PSP Data'!B664)</f>
        <v/>
      </c>
      <c r="C661">
        <f>'PSP Data'!C664</f>
        <v>0</v>
      </c>
      <c r="D661">
        <f>'PSP Data'!D664</f>
        <v>0</v>
      </c>
      <c r="E661">
        <f>'PSP Data'!E664</f>
        <v>0</v>
      </c>
      <c r="F661">
        <f>'PSP Data'!F664</f>
        <v>0</v>
      </c>
      <c r="G661">
        <f>'PSP Data'!G664</f>
        <v>0</v>
      </c>
      <c r="H661">
        <f>'PSP Data'!H664</f>
        <v>0</v>
      </c>
      <c r="I661">
        <f>'PSP Data'!I664</f>
        <v>0</v>
      </c>
      <c r="J661" s="29" t="e">
        <f t="shared" si="45"/>
        <v>#N/A</v>
      </c>
      <c r="K661" s="29" t="e">
        <f>IF(AND((A661&lt;'PSP Data'!$C$11),(A661&lt;&gt;0)),Analysis!C661,#N/A)</f>
        <v>#N/A</v>
      </c>
      <c r="L661" t="e">
        <f>IF(VLOOKUP(B661,Table1[],4)=0,"unknown", VLOOKUP(B661,Table1[],4))</f>
        <v>#N/A</v>
      </c>
      <c r="M661">
        <v>1</v>
      </c>
      <c r="N661" t="e">
        <f t="shared" si="46"/>
        <v>#N/A</v>
      </c>
      <c r="O661" t="str">
        <f t="shared" si="47"/>
        <v/>
      </c>
      <c r="P661" t="str">
        <f t="shared" si="48"/>
        <v/>
      </c>
      <c r="Q661" t="str">
        <f t="shared" si="49"/>
        <v/>
      </c>
      <c r="R661">
        <v>1</v>
      </c>
    </row>
    <row r="662" spans="1:18">
      <c r="A662">
        <f>'PSP Data'!A665</f>
        <v>0</v>
      </c>
      <c r="B662" t="str">
        <f>IF('PSP Data'!B665=0,"",'PSP Data'!B665)</f>
        <v/>
      </c>
      <c r="C662">
        <f>'PSP Data'!C665</f>
        <v>0</v>
      </c>
      <c r="D662">
        <f>'PSP Data'!D665</f>
        <v>0</v>
      </c>
      <c r="E662">
        <f>'PSP Data'!E665</f>
        <v>0</v>
      </c>
      <c r="F662">
        <f>'PSP Data'!F665</f>
        <v>0</v>
      </c>
      <c r="G662">
        <f>'PSP Data'!G665</f>
        <v>0</v>
      </c>
      <c r="H662">
        <f>'PSP Data'!H665</f>
        <v>0</v>
      </c>
      <c r="I662">
        <f>'PSP Data'!I665</f>
        <v>0</v>
      </c>
      <c r="J662" s="29" t="e">
        <f t="shared" ref="J662:J725" si="50">IF(C662&gt;=25,C662,#N/A)</f>
        <v>#N/A</v>
      </c>
      <c r="K662" s="29" t="e">
        <f>IF(AND((A662&lt;'PSP Data'!$C$11),(A662&lt;&gt;0)),Analysis!C662,#N/A)</f>
        <v>#N/A</v>
      </c>
      <c r="L662" t="e">
        <f>IF(VLOOKUP(B662,Table1[],4)=0,"unknown", VLOOKUP(B662,Table1[],4))</f>
        <v>#N/A</v>
      </c>
      <c r="M662">
        <v>1</v>
      </c>
      <c r="N662" t="e">
        <f t="shared" ref="N662:N725" si="51">IF(L662="timber",B662,"")</f>
        <v>#N/A</v>
      </c>
      <c r="O662" t="str">
        <f t="shared" ref="O662:O725" si="52">IF(D662="y",B662,"")</f>
        <v/>
      </c>
      <c r="P662" t="str">
        <f t="shared" ref="P662:P725" si="53">IF(F662="y",B662,"")</f>
        <v/>
      </c>
      <c r="Q662" t="str">
        <f t="shared" ref="Q662:Q725" si="54">IF(B662="","",ISNUMBER(FIND("Dead wood",B662:B1541)))</f>
        <v/>
      </c>
      <c r="R662">
        <v>1</v>
      </c>
    </row>
    <row r="663" spans="1:18">
      <c r="A663">
        <f>'PSP Data'!A666</f>
        <v>0</v>
      </c>
      <c r="B663" t="str">
        <f>IF('PSP Data'!B666=0,"",'PSP Data'!B666)</f>
        <v/>
      </c>
      <c r="C663">
        <f>'PSP Data'!C666</f>
        <v>0</v>
      </c>
      <c r="D663">
        <f>'PSP Data'!D666</f>
        <v>0</v>
      </c>
      <c r="E663">
        <f>'PSP Data'!E666</f>
        <v>0</v>
      </c>
      <c r="F663">
        <f>'PSP Data'!F666</f>
        <v>0</v>
      </c>
      <c r="G663">
        <f>'PSP Data'!G666</f>
        <v>0</v>
      </c>
      <c r="H663">
        <f>'PSP Data'!H666</f>
        <v>0</v>
      </c>
      <c r="I663">
        <f>'PSP Data'!I666</f>
        <v>0</v>
      </c>
      <c r="J663" s="29" t="e">
        <f t="shared" si="50"/>
        <v>#N/A</v>
      </c>
      <c r="K663" s="29" t="e">
        <f>IF(AND((A663&lt;'PSP Data'!$C$11),(A663&lt;&gt;0)),Analysis!C663,#N/A)</f>
        <v>#N/A</v>
      </c>
      <c r="L663" t="e">
        <f>IF(VLOOKUP(B663,Table1[],4)=0,"unknown", VLOOKUP(B663,Table1[],4))</f>
        <v>#N/A</v>
      </c>
      <c r="M663">
        <v>1</v>
      </c>
      <c r="N663" t="e">
        <f t="shared" si="51"/>
        <v>#N/A</v>
      </c>
      <c r="O663" t="str">
        <f t="shared" si="52"/>
        <v/>
      </c>
      <c r="P663" t="str">
        <f t="shared" si="53"/>
        <v/>
      </c>
      <c r="Q663" t="str">
        <f t="shared" si="54"/>
        <v/>
      </c>
      <c r="R663">
        <v>1</v>
      </c>
    </row>
    <row r="664" spans="1:18">
      <c r="A664">
        <f>'PSP Data'!A667</f>
        <v>0</v>
      </c>
      <c r="B664" t="str">
        <f>IF('PSP Data'!B667=0,"",'PSP Data'!B667)</f>
        <v/>
      </c>
      <c r="C664">
        <f>'PSP Data'!C667</f>
        <v>0</v>
      </c>
      <c r="D664">
        <f>'PSP Data'!D667</f>
        <v>0</v>
      </c>
      <c r="E664">
        <f>'PSP Data'!E667</f>
        <v>0</v>
      </c>
      <c r="F664">
        <f>'PSP Data'!F667</f>
        <v>0</v>
      </c>
      <c r="G664">
        <f>'PSP Data'!G667</f>
        <v>0</v>
      </c>
      <c r="H664">
        <f>'PSP Data'!H667</f>
        <v>0</v>
      </c>
      <c r="I664">
        <f>'PSP Data'!I667</f>
        <v>0</v>
      </c>
      <c r="J664" s="29" t="e">
        <f t="shared" si="50"/>
        <v>#N/A</v>
      </c>
      <c r="K664" s="29" t="e">
        <f>IF(AND((A664&lt;'PSP Data'!$C$11),(A664&lt;&gt;0)),Analysis!C664,#N/A)</f>
        <v>#N/A</v>
      </c>
      <c r="L664" t="e">
        <f>IF(VLOOKUP(B664,Table1[],4)=0,"unknown", VLOOKUP(B664,Table1[],4))</f>
        <v>#N/A</v>
      </c>
      <c r="M664">
        <v>1</v>
      </c>
      <c r="N664" t="e">
        <f t="shared" si="51"/>
        <v>#N/A</v>
      </c>
      <c r="O664" t="str">
        <f t="shared" si="52"/>
        <v/>
      </c>
      <c r="P664" t="str">
        <f t="shared" si="53"/>
        <v/>
      </c>
      <c r="Q664" t="str">
        <f t="shared" si="54"/>
        <v/>
      </c>
      <c r="R664">
        <v>1</v>
      </c>
    </row>
    <row r="665" spans="1:18">
      <c r="A665">
        <f>'PSP Data'!A668</f>
        <v>0</v>
      </c>
      <c r="B665" t="str">
        <f>IF('PSP Data'!B668=0,"",'PSP Data'!B668)</f>
        <v/>
      </c>
      <c r="C665">
        <f>'PSP Data'!C668</f>
        <v>0</v>
      </c>
      <c r="D665">
        <f>'PSP Data'!D668</f>
        <v>0</v>
      </c>
      <c r="E665">
        <f>'PSP Data'!E668</f>
        <v>0</v>
      </c>
      <c r="F665">
        <f>'PSP Data'!F668</f>
        <v>0</v>
      </c>
      <c r="G665">
        <f>'PSP Data'!G668</f>
        <v>0</v>
      </c>
      <c r="H665">
        <f>'PSP Data'!H668</f>
        <v>0</v>
      </c>
      <c r="I665">
        <f>'PSP Data'!I668</f>
        <v>0</v>
      </c>
      <c r="J665" s="29" t="e">
        <f t="shared" si="50"/>
        <v>#N/A</v>
      </c>
      <c r="K665" s="29" t="e">
        <f>IF(AND((A665&lt;'PSP Data'!$C$11),(A665&lt;&gt;0)),Analysis!C665,#N/A)</f>
        <v>#N/A</v>
      </c>
      <c r="L665" t="e">
        <f>IF(VLOOKUP(B665,Table1[],4)=0,"unknown", VLOOKUP(B665,Table1[],4))</f>
        <v>#N/A</v>
      </c>
      <c r="M665">
        <v>1</v>
      </c>
      <c r="N665" t="e">
        <f t="shared" si="51"/>
        <v>#N/A</v>
      </c>
      <c r="O665" t="str">
        <f t="shared" si="52"/>
        <v/>
      </c>
      <c r="P665" t="str">
        <f t="shared" si="53"/>
        <v/>
      </c>
      <c r="Q665" t="str">
        <f t="shared" si="54"/>
        <v/>
      </c>
      <c r="R665">
        <v>1</v>
      </c>
    </row>
    <row r="666" spans="1:18">
      <c r="A666">
        <f>'PSP Data'!A669</f>
        <v>0</v>
      </c>
      <c r="B666" t="str">
        <f>IF('PSP Data'!B669=0,"",'PSP Data'!B669)</f>
        <v/>
      </c>
      <c r="C666">
        <f>'PSP Data'!C669</f>
        <v>0</v>
      </c>
      <c r="D666">
        <f>'PSP Data'!D669</f>
        <v>0</v>
      </c>
      <c r="E666">
        <f>'PSP Data'!E669</f>
        <v>0</v>
      </c>
      <c r="F666">
        <f>'PSP Data'!F669</f>
        <v>0</v>
      </c>
      <c r="G666">
        <f>'PSP Data'!G669</f>
        <v>0</v>
      </c>
      <c r="H666">
        <f>'PSP Data'!H669</f>
        <v>0</v>
      </c>
      <c r="I666">
        <f>'PSP Data'!I669</f>
        <v>0</v>
      </c>
      <c r="J666" s="29" t="e">
        <f t="shared" si="50"/>
        <v>#N/A</v>
      </c>
      <c r="K666" s="29" t="e">
        <f>IF(AND((A666&lt;'PSP Data'!$C$11),(A666&lt;&gt;0)),Analysis!C666,#N/A)</f>
        <v>#N/A</v>
      </c>
      <c r="L666" t="e">
        <f>IF(VLOOKUP(B666,Table1[],4)=0,"unknown", VLOOKUP(B666,Table1[],4))</f>
        <v>#N/A</v>
      </c>
      <c r="M666">
        <v>1</v>
      </c>
      <c r="N666" t="e">
        <f t="shared" si="51"/>
        <v>#N/A</v>
      </c>
      <c r="O666" t="str">
        <f t="shared" si="52"/>
        <v/>
      </c>
      <c r="P666" t="str">
        <f t="shared" si="53"/>
        <v/>
      </c>
      <c r="Q666" t="str">
        <f t="shared" si="54"/>
        <v/>
      </c>
      <c r="R666">
        <v>1</v>
      </c>
    </row>
    <row r="667" spans="1:18">
      <c r="A667">
        <f>'PSP Data'!A670</f>
        <v>0</v>
      </c>
      <c r="B667" t="str">
        <f>IF('PSP Data'!B670=0,"",'PSP Data'!B670)</f>
        <v/>
      </c>
      <c r="C667">
        <f>'PSP Data'!C670</f>
        <v>0</v>
      </c>
      <c r="D667">
        <f>'PSP Data'!D670</f>
        <v>0</v>
      </c>
      <c r="E667">
        <f>'PSP Data'!E670</f>
        <v>0</v>
      </c>
      <c r="F667">
        <f>'PSP Data'!F670</f>
        <v>0</v>
      </c>
      <c r="G667">
        <f>'PSP Data'!G670</f>
        <v>0</v>
      </c>
      <c r="H667">
        <f>'PSP Data'!H670</f>
        <v>0</v>
      </c>
      <c r="I667">
        <f>'PSP Data'!I670</f>
        <v>0</v>
      </c>
      <c r="J667" s="29" t="e">
        <f t="shared" si="50"/>
        <v>#N/A</v>
      </c>
      <c r="K667" s="29" t="e">
        <f>IF(AND((A667&lt;'PSP Data'!$C$11),(A667&lt;&gt;0)),Analysis!C667,#N/A)</f>
        <v>#N/A</v>
      </c>
      <c r="L667" t="e">
        <f>IF(VLOOKUP(B667,Table1[],4)=0,"unknown", VLOOKUP(B667,Table1[],4))</f>
        <v>#N/A</v>
      </c>
      <c r="M667">
        <v>1</v>
      </c>
      <c r="N667" t="e">
        <f t="shared" si="51"/>
        <v>#N/A</v>
      </c>
      <c r="O667" t="str">
        <f t="shared" si="52"/>
        <v/>
      </c>
      <c r="P667" t="str">
        <f t="shared" si="53"/>
        <v/>
      </c>
      <c r="Q667" t="str">
        <f t="shared" si="54"/>
        <v/>
      </c>
      <c r="R667">
        <v>1</v>
      </c>
    </row>
    <row r="668" spans="1:18">
      <c r="A668">
        <f>'PSP Data'!A671</f>
        <v>0</v>
      </c>
      <c r="B668" t="str">
        <f>IF('PSP Data'!B671=0,"",'PSP Data'!B671)</f>
        <v/>
      </c>
      <c r="C668">
        <f>'PSP Data'!C671</f>
        <v>0</v>
      </c>
      <c r="D668">
        <f>'PSP Data'!D671</f>
        <v>0</v>
      </c>
      <c r="E668">
        <f>'PSP Data'!E671</f>
        <v>0</v>
      </c>
      <c r="F668">
        <f>'PSP Data'!F671</f>
        <v>0</v>
      </c>
      <c r="G668">
        <f>'PSP Data'!G671</f>
        <v>0</v>
      </c>
      <c r="H668">
        <f>'PSP Data'!H671</f>
        <v>0</v>
      </c>
      <c r="I668">
        <f>'PSP Data'!I671</f>
        <v>0</v>
      </c>
      <c r="J668" s="29" t="e">
        <f t="shared" si="50"/>
        <v>#N/A</v>
      </c>
      <c r="K668" s="29" t="e">
        <f>IF(AND((A668&lt;'PSP Data'!$C$11),(A668&lt;&gt;0)),Analysis!C668,#N/A)</f>
        <v>#N/A</v>
      </c>
      <c r="L668" t="e">
        <f>IF(VLOOKUP(B668,Table1[],4)=0,"unknown", VLOOKUP(B668,Table1[],4))</f>
        <v>#N/A</v>
      </c>
      <c r="M668">
        <v>1</v>
      </c>
      <c r="N668" t="e">
        <f t="shared" si="51"/>
        <v>#N/A</v>
      </c>
      <c r="O668" t="str">
        <f t="shared" si="52"/>
        <v/>
      </c>
      <c r="P668" t="str">
        <f t="shared" si="53"/>
        <v/>
      </c>
      <c r="Q668" t="str">
        <f t="shared" si="54"/>
        <v/>
      </c>
      <c r="R668">
        <v>1</v>
      </c>
    </row>
    <row r="669" spans="1:18">
      <c r="A669">
        <f>'PSP Data'!A672</f>
        <v>0</v>
      </c>
      <c r="B669" t="str">
        <f>IF('PSP Data'!B672=0,"",'PSP Data'!B672)</f>
        <v/>
      </c>
      <c r="C669">
        <f>'PSP Data'!C672</f>
        <v>0</v>
      </c>
      <c r="D669">
        <f>'PSP Data'!D672</f>
        <v>0</v>
      </c>
      <c r="E669">
        <f>'PSP Data'!E672</f>
        <v>0</v>
      </c>
      <c r="F669">
        <f>'PSP Data'!F672</f>
        <v>0</v>
      </c>
      <c r="G669">
        <f>'PSP Data'!G672</f>
        <v>0</v>
      </c>
      <c r="H669">
        <f>'PSP Data'!H672</f>
        <v>0</v>
      </c>
      <c r="I669">
        <f>'PSP Data'!I672</f>
        <v>0</v>
      </c>
      <c r="J669" s="29" t="e">
        <f t="shared" si="50"/>
        <v>#N/A</v>
      </c>
      <c r="K669" s="29" t="e">
        <f>IF(AND((A669&lt;'PSP Data'!$C$11),(A669&lt;&gt;0)),Analysis!C669,#N/A)</f>
        <v>#N/A</v>
      </c>
      <c r="L669" t="e">
        <f>IF(VLOOKUP(B669,Table1[],4)=0,"unknown", VLOOKUP(B669,Table1[],4))</f>
        <v>#N/A</v>
      </c>
      <c r="M669">
        <v>1</v>
      </c>
      <c r="N669" t="e">
        <f t="shared" si="51"/>
        <v>#N/A</v>
      </c>
      <c r="O669" t="str">
        <f t="shared" si="52"/>
        <v/>
      </c>
      <c r="P669" t="str">
        <f t="shared" si="53"/>
        <v/>
      </c>
      <c r="Q669" t="str">
        <f t="shared" si="54"/>
        <v/>
      </c>
      <c r="R669">
        <v>1</v>
      </c>
    </row>
    <row r="670" spans="1:18">
      <c r="A670">
        <f>'PSP Data'!A673</f>
        <v>0</v>
      </c>
      <c r="B670" t="str">
        <f>IF('PSP Data'!B673=0,"",'PSP Data'!B673)</f>
        <v/>
      </c>
      <c r="C670">
        <f>'PSP Data'!C673</f>
        <v>0</v>
      </c>
      <c r="D670">
        <f>'PSP Data'!D673</f>
        <v>0</v>
      </c>
      <c r="E670">
        <f>'PSP Data'!E673</f>
        <v>0</v>
      </c>
      <c r="F670">
        <f>'PSP Data'!F673</f>
        <v>0</v>
      </c>
      <c r="G670">
        <f>'PSP Data'!G673</f>
        <v>0</v>
      </c>
      <c r="H670">
        <f>'PSP Data'!H673</f>
        <v>0</v>
      </c>
      <c r="I670">
        <f>'PSP Data'!I673</f>
        <v>0</v>
      </c>
      <c r="J670" s="29" t="e">
        <f t="shared" si="50"/>
        <v>#N/A</v>
      </c>
      <c r="K670" s="29" t="e">
        <f>IF(AND((A670&lt;'PSP Data'!$C$11),(A670&lt;&gt;0)),Analysis!C670,#N/A)</f>
        <v>#N/A</v>
      </c>
      <c r="L670" t="e">
        <f>IF(VLOOKUP(B670,Table1[],4)=0,"unknown", VLOOKUP(B670,Table1[],4))</f>
        <v>#N/A</v>
      </c>
      <c r="M670">
        <v>1</v>
      </c>
      <c r="N670" t="e">
        <f t="shared" si="51"/>
        <v>#N/A</v>
      </c>
      <c r="O670" t="str">
        <f t="shared" si="52"/>
        <v/>
      </c>
      <c r="P670" t="str">
        <f t="shared" si="53"/>
        <v/>
      </c>
      <c r="Q670" t="str">
        <f t="shared" si="54"/>
        <v/>
      </c>
      <c r="R670">
        <v>1</v>
      </c>
    </row>
    <row r="671" spans="1:18">
      <c r="A671">
        <f>'PSP Data'!A674</f>
        <v>0</v>
      </c>
      <c r="B671" t="str">
        <f>IF('PSP Data'!B674=0,"",'PSP Data'!B674)</f>
        <v/>
      </c>
      <c r="C671">
        <f>'PSP Data'!C674</f>
        <v>0</v>
      </c>
      <c r="D671">
        <f>'PSP Data'!D674</f>
        <v>0</v>
      </c>
      <c r="E671">
        <f>'PSP Data'!E674</f>
        <v>0</v>
      </c>
      <c r="F671">
        <f>'PSP Data'!F674</f>
        <v>0</v>
      </c>
      <c r="G671">
        <f>'PSP Data'!G674</f>
        <v>0</v>
      </c>
      <c r="H671">
        <f>'PSP Data'!H674</f>
        <v>0</v>
      </c>
      <c r="I671">
        <f>'PSP Data'!I674</f>
        <v>0</v>
      </c>
      <c r="J671" s="29" t="e">
        <f t="shared" si="50"/>
        <v>#N/A</v>
      </c>
      <c r="K671" s="29" t="e">
        <f>IF(AND((A671&lt;'PSP Data'!$C$11),(A671&lt;&gt;0)),Analysis!C671,#N/A)</f>
        <v>#N/A</v>
      </c>
      <c r="L671" t="e">
        <f>IF(VLOOKUP(B671,Table1[],4)=0,"unknown", VLOOKUP(B671,Table1[],4))</f>
        <v>#N/A</v>
      </c>
      <c r="M671">
        <v>1</v>
      </c>
      <c r="N671" t="e">
        <f t="shared" si="51"/>
        <v>#N/A</v>
      </c>
      <c r="O671" t="str">
        <f t="shared" si="52"/>
        <v/>
      </c>
      <c r="P671" t="str">
        <f t="shared" si="53"/>
        <v/>
      </c>
      <c r="Q671" t="str">
        <f t="shared" si="54"/>
        <v/>
      </c>
      <c r="R671">
        <v>1</v>
      </c>
    </row>
    <row r="672" spans="1:18">
      <c r="A672">
        <f>'PSP Data'!A675</f>
        <v>0</v>
      </c>
      <c r="B672" t="str">
        <f>IF('PSP Data'!B675=0,"",'PSP Data'!B675)</f>
        <v/>
      </c>
      <c r="C672">
        <f>'PSP Data'!C675</f>
        <v>0</v>
      </c>
      <c r="D672">
        <f>'PSP Data'!D675</f>
        <v>0</v>
      </c>
      <c r="E672">
        <f>'PSP Data'!E675</f>
        <v>0</v>
      </c>
      <c r="F672">
        <f>'PSP Data'!F675</f>
        <v>0</v>
      </c>
      <c r="G672">
        <f>'PSP Data'!G675</f>
        <v>0</v>
      </c>
      <c r="H672">
        <f>'PSP Data'!H675</f>
        <v>0</v>
      </c>
      <c r="I672">
        <f>'PSP Data'!I675</f>
        <v>0</v>
      </c>
      <c r="J672" s="29" t="e">
        <f t="shared" si="50"/>
        <v>#N/A</v>
      </c>
      <c r="K672" s="29" t="e">
        <f>IF(AND((A672&lt;'PSP Data'!$C$11),(A672&lt;&gt;0)),Analysis!C672,#N/A)</f>
        <v>#N/A</v>
      </c>
      <c r="L672" t="e">
        <f>IF(VLOOKUP(B672,Table1[],4)=0,"unknown", VLOOKUP(B672,Table1[],4))</f>
        <v>#N/A</v>
      </c>
      <c r="M672">
        <v>1</v>
      </c>
      <c r="N672" t="e">
        <f t="shared" si="51"/>
        <v>#N/A</v>
      </c>
      <c r="O672" t="str">
        <f t="shared" si="52"/>
        <v/>
      </c>
      <c r="P672" t="str">
        <f t="shared" si="53"/>
        <v/>
      </c>
      <c r="Q672" t="str">
        <f t="shared" si="54"/>
        <v/>
      </c>
      <c r="R672">
        <v>1</v>
      </c>
    </row>
    <row r="673" spans="1:18">
      <c r="A673">
        <f>'PSP Data'!A676</f>
        <v>0</v>
      </c>
      <c r="B673" t="str">
        <f>IF('PSP Data'!B676=0,"",'PSP Data'!B676)</f>
        <v/>
      </c>
      <c r="C673">
        <f>'PSP Data'!C676</f>
        <v>0</v>
      </c>
      <c r="D673">
        <f>'PSP Data'!D676</f>
        <v>0</v>
      </c>
      <c r="E673">
        <f>'PSP Data'!E676</f>
        <v>0</v>
      </c>
      <c r="F673">
        <f>'PSP Data'!F676</f>
        <v>0</v>
      </c>
      <c r="G673">
        <f>'PSP Data'!G676</f>
        <v>0</v>
      </c>
      <c r="H673">
        <f>'PSP Data'!H676</f>
        <v>0</v>
      </c>
      <c r="I673">
        <f>'PSP Data'!I676</f>
        <v>0</v>
      </c>
      <c r="J673" s="29" t="e">
        <f t="shared" si="50"/>
        <v>#N/A</v>
      </c>
      <c r="K673" s="29" t="e">
        <f>IF(AND((A673&lt;'PSP Data'!$C$11),(A673&lt;&gt;0)),Analysis!C673,#N/A)</f>
        <v>#N/A</v>
      </c>
      <c r="L673" t="e">
        <f>IF(VLOOKUP(B673,Table1[],4)=0,"unknown", VLOOKUP(B673,Table1[],4))</f>
        <v>#N/A</v>
      </c>
      <c r="M673">
        <v>1</v>
      </c>
      <c r="N673" t="e">
        <f t="shared" si="51"/>
        <v>#N/A</v>
      </c>
      <c r="O673" t="str">
        <f t="shared" si="52"/>
        <v/>
      </c>
      <c r="P673" t="str">
        <f t="shared" si="53"/>
        <v/>
      </c>
      <c r="Q673" t="str">
        <f t="shared" si="54"/>
        <v/>
      </c>
      <c r="R673">
        <v>1</v>
      </c>
    </row>
    <row r="674" spans="1:18">
      <c r="A674">
        <f>'PSP Data'!A677</f>
        <v>0</v>
      </c>
      <c r="B674" t="str">
        <f>IF('PSP Data'!B677=0,"",'PSP Data'!B677)</f>
        <v/>
      </c>
      <c r="C674">
        <f>'PSP Data'!C677</f>
        <v>0</v>
      </c>
      <c r="D674">
        <f>'PSP Data'!D677</f>
        <v>0</v>
      </c>
      <c r="E674">
        <f>'PSP Data'!E677</f>
        <v>0</v>
      </c>
      <c r="F674">
        <f>'PSP Data'!F677</f>
        <v>0</v>
      </c>
      <c r="G674">
        <f>'PSP Data'!G677</f>
        <v>0</v>
      </c>
      <c r="H674">
        <f>'PSP Data'!H677</f>
        <v>0</v>
      </c>
      <c r="I674">
        <f>'PSP Data'!I677</f>
        <v>0</v>
      </c>
      <c r="J674" s="29" t="e">
        <f t="shared" si="50"/>
        <v>#N/A</v>
      </c>
      <c r="K674" s="29" t="e">
        <f>IF(AND((A674&lt;'PSP Data'!$C$11),(A674&lt;&gt;0)),Analysis!C674,#N/A)</f>
        <v>#N/A</v>
      </c>
      <c r="L674" t="e">
        <f>IF(VLOOKUP(B674,Table1[],4)=0,"unknown", VLOOKUP(B674,Table1[],4))</f>
        <v>#N/A</v>
      </c>
      <c r="M674">
        <v>1</v>
      </c>
      <c r="N674" t="e">
        <f t="shared" si="51"/>
        <v>#N/A</v>
      </c>
      <c r="O674" t="str">
        <f t="shared" si="52"/>
        <v/>
      </c>
      <c r="P674" t="str">
        <f t="shared" si="53"/>
        <v/>
      </c>
      <c r="Q674" t="str">
        <f t="shared" si="54"/>
        <v/>
      </c>
      <c r="R674">
        <v>1</v>
      </c>
    </row>
    <row r="675" spans="1:18">
      <c r="A675">
        <f>'PSP Data'!A678</f>
        <v>0</v>
      </c>
      <c r="B675" t="str">
        <f>IF('PSP Data'!B678=0,"",'PSP Data'!B678)</f>
        <v/>
      </c>
      <c r="C675">
        <f>'PSP Data'!C678</f>
        <v>0</v>
      </c>
      <c r="D675">
        <f>'PSP Data'!D678</f>
        <v>0</v>
      </c>
      <c r="E675">
        <f>'PSP Data'!E678</f>
        <v>0</v>
      </c>
      <c r="F675">
        <f>'PSP Data'!F678</f>
        <v>0</v>
      </c>
      <c r="G675">
        <f>'PSP Data'!G678</f>
        <v>0</v>
      </c>
      <c r="H675">
        <f>'PSP Data'!H678</f>
        <v>0</v>
      </c>
      <c r="I675">
        <f>'PSP Data'!I678</f>
        <v>0</v>
      </c>
      <c r="J675" s="29" t="e">
        <f t="shared" si="50"/>
        <v>#N/A</v>
      </c>
      <c r="K675" s="29" t="e">
        <f>IF(AND((A675&lt;'PSP Data'!$C$11),(A675&lt;&gt;0)),Analysis!C675,#N/A)</f>
        <v>#N/A</v>
      </c>
      <c r="L675" t="e">
        <f>IF(VLOOKUP(B675,Table1[],4)=0,"unknown", VLOOKUP(B675,Table1[],4))</f>
        <v>#N/A</v>
      </c>
      <c r="M675">
        <v>1</v>
      </c>
      <c r="N675" t="e">
        <f t="shared" si="51"/>
        <v>#N/A</v>
      </c>
      <c r="O675" t="str">
        <f t="shared" si="52"/>
        <v/>
      </c>
      <c r="P675" t="str">
        <f t="shared" si="53"/>
        <v/>
      </c>
      <c r="Q675" t="str">
        <f t="shared" si="54"/>
        <v/>
      </c>
      <c r="R675">
        <v>1</v>
      </c>
    </row>
    <row r="676" spans="1:18">
      <c r="A676">
        <f>'PSP Data'!A679</f>
        <v>0</v>
      </c>
      <c r="B676" t="str">
        <f>IF('PSP Data'!B679=0,"",'PSP Data'!B679)</f>
        <v/>
      </c>
      <c r="C676">
        <f>'PSP Data'!C679</f>
        <v>0</v>
      </c>
      <c r="D676">
        <f>'PSP Data'!D679</f>
        <v>0</v>
      </c>
      <c r="E676">
        <f>'PSP Data'!E679</f>
        <v>0</v>
      </c>
      <c r="F676">
        <f>'PSP Data'!F679</f>
        <v>0</v>
      </c>
      <c r="G676">
        <f>'PSP Data'!G679</f>
        <v>0</v>
      </c>
      <c r="H676">
        <f>'PSP Data'!H679</f>
        <v>0</v>
      </c>
      <c r="I676">
        <f>'PSP Data'!I679</f>
        <v>0</v>
      </c>
      <c r="J676" s="29" t="e">
        <f t="shared" si="50"/>
        <v>#N/A</v>
      </c>
      <c r="K676" s="29" t="e">
        <f>IF(AND((A676&lt;'PSP Data'!$C$11),(A676&lt;&gt;0)),Analysis!C676,#N/A)</f>
        <v>#N/A</v>
      </c>
      <c r="L676" t="e">
        <f>IF(VLOOKUP(B676,Table1[],4)=0,"unknown", VLOOKUP(B676,Table1[],4))</f>
        <v>#N/A</v>
      </c>
      <c r="M676">
        <v>1</v>
      </c>
      <c r="N676" t="e">
        <f t="shared" si="51"/>
        <v>#N/A</v>
      </c>
      <c r="O676" t="str">
        <f t="shared" si="52"/>
        <v/>
      </c>
      <c r="P676" t="str">
        <f t="shared" si="53"/>
        <v/>
      </c>
      <c r="Q676" t="str">
        <f t="shared" si="54"/>
        <v/>
      </c>
      <c r="R676">
        <v>1</v>
      </c>
    </row>
    <row r="677" spans="1:18">
      <c r="A677">
        <f>'PSP Data'!A680</f>
        <v>0</v>
      </c>
      <c r="B677" t="str">
        <f>IF('PSP Data'!B680=0,"",'PSP Data'!B680)</f>
        <v/>
      </c>
      <c r="C677">
        <f>'PSP Data'!C680</f>
        <v>0</v>
      </c>
      <c r="D677">
        <f>'PSP Data'!D680</f>
        <v>0</v>
      </c>
      <c r="E677">
        <f>'PSP Data'!E680</f>
        <v>0</v>
      </c>
      <c r="F677">
        <f>'PSP Data'!F680</f>
        <v>0</v>
      </c>
      <c r="G677">
        <f>'PSP Data'!G680</f>
        <v>0</v>
      </c>
      <c r="H677">
        <f>'PSP Data'!H680</f>
        <v>0</v>
      </c>
      <c r="I677">
        <f>'PSP Data'!I680</f>
        <v>0</v>
      </c>
      <c r="J677" s="29" t="e">
        <f t="shared" si="50"/>
        <v>#N/A</v>
      </c>
      <c r="K677" s="29" t="e">
        <f>IF(AND((A677&lt;'PSP Data'!$C$11),(A677&lt;&gt;0)),Analysis!C677,#N/A)</f>
        <v>#N/A</v>
      </c>
      <c r="L677" t="e">
        <f>IF(VLOOKUP(B677,Table1[],4)=0,"unknown", VLOOKUP(B677,Table1[],4))</f>
        <v>#N/A</v>
      </c>
      <c r="M677">
        <v>1</v>
      </c>
      <c r="N677" t="e">
        <f t="shared" si="51"/>
        <v>#N/A</v>
      </c>
      <c r="O677" t="str">
        <f t="shared" si="52"/>
        <v/>
      </c>
      <c r="P677" t="str">
        <f t="shared" si="53"/>
        <v/>
      </c>
      <c r="Q677" t="str">
        <f t="shared" si="54"/>
        <v/>
      </c>
      <c r="R677">
        <v>1</v>
      </c>
    </row>
    <row r="678" spans="1:18">
      <c r="A678">
        <f>'PSP Data'!A681</f>
        <v>0</v>
      </c>
      <c r="B678" t="str">
        <f>IF('PSP Data'!B681=0,"",'PSP Data'!B681)</f>
        <v/>
      </c>
      <c r="C678">
        <f>'PSP Data'!C681</f>
        <v>0</v>
      </c>
      <c r="D678">
        <f>'PSP Data'!D681</f>
        <v>0</v>
      </c>
      <c r="E678">
        <f>'PSP Data'!E681</f>
        <v>0</v>
      </c>
      <c r="F678">
        <f>'PSP Data'!F681</f>
        <v>0</v>
      </c>
      <c r="G678">
        <f>'PSP Data'!G681</f>
        <v>0</v>
      </c>
      <c r="H678">
        <f>'PSP Data'!H681</f>
        <v>0</v>
      </c>
      <c r="I678">
        <f>'PSP Data'!I681</f>
        <v>0</v>
      </c>
      <c r="J678" s="29" t="e">
        <f t="shared" si="50"/>
        <v>#N/A</v>
      </c>
      <c r="K678" s="29" t="e">
        <f>IF(AND((A678&lt;'PSP Data'!$C$11),(A678&lt;&gt;0)),Analysis!C678,#N/A)</f>
        <v>#N/A</v>
      </c>
      <c r="L678" t="e">
        <f>IF(VLOOKUP(B678,Table1[],4)=0,"unknown", VLOOKUP(B678,Table1[],4))</f>
        <v>#N/A</v>
      </c>
      <c r="M678">
        <v>1</v>
      </c>
      <c r="N678" t="e">
        <f t="shared" si="51"/>
        <v>#N/A</v>
      </c>
      <c r="O678" t="str">
        <f t="shared" si="52"/>
        <v/>
      </c>
      <c r="P678" t="str">
        <f t="shared" si="53"/>
        <v/>
      </c>
      <c r="Q678" t="str">
        <f t="shared" si="54"/>
        <v/>
      </c>
      <c r="R678">
        <v>1</v>
      </c>
    </row>
    <row r="679" spans="1:18">
      <c r="A679">
        <f>'PSP Data'!A682</f>
        <v>0</v>
      </c>
      <c r="B679" t="str">
        <f>IF('PSP Data'!B682=0,"",'PSP Data'!B682)</f>
        <v/>
      </c>
      <c r="C679">
        <f>'PSP Data'!C682</f>
        <v>0</v>
      </c>
      <c r="D679">
        <f>'PSP Data'!D682</f>
        <v>0</v>
      </c>
      <c r="E679">
        <f>'PSP Data'!E682</f>
        <v>0</v>
      </c>
      <c r="F679">
        <f>'PSP Data'!F682</f>
        <v>0</v>
      </c>
      <c r="G679">
        <f>'PSP Data'!G682</f>
        <v>0</v>
      </c>
      <c r="H679">
        <f>'PSP Data'!H682</f>
        <v>0</v>
      </c>
      <c r="I679">
        <f>'PSP Data'!I682</f>
        <v>0</v>
      </c>
      <c r="J679" s="29" t="e">
        <f t="shared" si="50"/>
        <v>#N/A</v>
      </c>
      <c r="K679" s="29" t="e">
        <f>IF(AND((A679&lt;'PSP Data'!$C$11),(A679&lt;&gt;0)),Analysis!C679,#N/A)</f>
        <v>#N/A</v>
      </c>
      <c r="L679" t="e">
        <f>IF(VLOOKUP(B679,Table1[],4)=0,"unknown", VLOOKUP(B679,Table1[],4))</f>
        <v>#N/A</v>
      </c>
      <c r="M679">
        <v>1</v>
      </c>
      <c r="N679" t="e">
        <f t="shared" si="51"/>
        <v>#N/A</v>
      </c>
      <c r="O679" t="str">
        <f t="shared" si="52"/>
        <v/>
      </c>
      <c r="P679" t="str">
        <f t="shared" si="53"/>
        <v/>
      </c>
      <c r="Q679" t="str">
        <f t="shared" si="54"/>
        <v/>
      </c>
      <c r="R679">
        <v>1</v>
      </c>
    </row>
    <row r="680" spans="1:18">
      <c r="A680">
        <f>'PSP Data'!A683</f>
        <v>0</v>
      </c>
      <c r="B680" t="str">
        <f>IF('PSP Data'!B683=0,"",'PSP Data'!B683)</f>
        <v/>
      </c>
      <c r="C680">
        <f>'PSP Data'!C683</f>
        <v>0</v>
      </c>
      <c r="D680">
        <f>'PSP Data'!D683</f>
        <v>0</v>
      </c>
      <c r="E680">
        <f>'PSP Data'!E683</f>
        <v>0</v>
      </c>
      <c r="F680">
        <f>'PSP Data'!F683</f>
        <v>0</v>
      </c>
      <c r="G680">
        <f>'PSP Data'!G683</f>
        <v>0</v>
      </c>
      <c r="H680">
        <f>'PSP Data'!H683</f>
        <v>0</v>
      </c>
      <c r="I680">
        <f>'PSP Data'!I683</f>
        <v>0</v>
      </c>
      <c r="J680" s="29" t="e">
        <f t="shared" si="50"/>
        <v>#N/A</v>
      </c>
      <c r="K680" s="29" t="e">
        <f>IF(AND((A680&lt;'PSP Data'!$C$11),(A680&lt;&gt;0)),Analysis!C680,#N/A)</f>
        <v>#N/A</v>
      </c>
      <c r="L680" t="e">
        <f>IF(VLOOKUP(B680,Table1[],4)=0,"unknown", VLOOKUP(B680,Table1[],4))</f>
        <v>#N/A</v>
      </c>
      <c r="M680">
        <v>1</v>
      </c>
      <c r="N680" t="e">
        <f t="shared" si="51"/>
        <v>#N/A</v>
      </c>
      <c r="O680" t="str">
        <f t="shared" si="52"/>
        <v/>
      </c>
      <c r="P680" t="str">
        <f t="shared" si="53"/>
        <v/>
      </c>
      <c r="Q680" t="str">
        <f t="shared" si="54"/>
        <v/>
      </c>
      <c r="R680">
        <v>1</v>
      </c>
    </row>
    <row r="681" spans="1:18">
      <c r="A681">
        <f>'PSP Data'!A684</f>
        <v>0</v>
      </c>
      <c r="B681" t="str">
        <f>IF('PSP Data'!B684=0,"",'PSP Data'!B684)</f>
        <v/>
      </c>
      <c r="C681">
        <f>'PSP Data'!C684</f>
        <v>0</v>
      </c>
      <c r="D681">
        <f>'PSP Data'!D684</f>
        <v>0</v>
      </c>
      <c r="E681">
        <f>'PSP Data'!E684</f>
        <v>0</v>
      </c>
      <c r="F681">
        <f>'PSP Data'!F684</f>
        <v>0</v>
      </c>
      <c r="G681">
        <f>'PSP Data'!G684</f>
        <v>0</v>
      </c>
      <c r="H681">
        <f>'PSP Data'!H684</f>
        <v>0</v>
      </c>
      <c r="I681">
        <f>'PSP Data'!I684</f>
        <v>0</v>
      </c>
      <c r="J681" s="29" t="e">
        <f t="shared" si="50"/>
        <v>#N/A</v>
      </c>
      <c r="K681" s="29" t="e">
        <f>IF(AND((A681&lt;'PSP Data'!$C$11),(A681&lt;&gt;0)),Analysis!C681,#N/A)</f>
        <v>#N/A</v>
      </c>
      <c r="L681" t="e">
        <f>IF(VLOOKUP(B681,Table1[],4)=0,"unknown", VLOOKUP(B681,Table1[],4))</f>
        <v>#N/A</v>
      </c>
      <c r="M681">
        <v>1</v>
      </c>
      <c r="N681" t="e">
        <f t="shared" si="51"/>
        <v>#N/A</v>
      </c>
      <c r="O681" t="str">
        <f t="shared" si="52"/>
        <v/>
      </c>
      <c r="P681" t="str">
        <f t="shared" si="53"/>
        <v/>
      </c>
      <c r="Q681" t="str">
        <f t="shared" si="54"/>
        <v/>
      </c>
      <c r="R681">
        <v>1</v>
      </c>
    </row>
    <row r="682" spans="1:18">
      <c r="A682">
        <f>'PSP Data'!A685</f>
        <v>0</v>
      </c>
      <c r="B682" t="str">
        <f>IF('PSP Data'!B685=0,"",'PSP Data'!B685)</f>
        <v/>
      </c>
      <c r="C682">
        <f>'PSP Data'!C685</f>
        <v>0</v>
      </c>
      <c r="D682">
        <f>'PSP Data'!D685</f>
        <v>0</v>
      </c>
      <c r="E682">
        <f>'PSP Data'!E685</f>
        <v>0</v>
      </c>
      <c r="F682">
        <f>'PSP Data'!F685</f>
        <v>0</v>
      </c>
      <c r="G682">
        <f>'PSP Data'!G685</f>
        <v>0</v>
      </c>
      <c r="H682">
        <f>'PSP Data'!H685</f>
        <v>0</v>
      </c>
      <c r="I682">
        <f>'PSP Data'!I685</f>
        <v>0</v>
      </c>
      <c r="J682" s="29" t="e">
        <f t="shared" si="50"/>
        <v>#N/A</v>
      </c>
      <c r="K682" s="29" t="e">
        <f>IF(AND((A682&lt;'PSP Data'!$C$11),(A682&lt;&gt;0)),Analysis!C682,#N/A)</f>
        <v>#N/A</v>
      </c>
      <c r="L682" t="e">
        <f>IF(VLOOKUP(B682,Table1[],4)=0,"unknown", VLOOKUP(B682,Table1[],4))</f>
        <v>#N/A</v>
      </c>
      <c r="M682">
        <v>1</v>
      </c>
      <c r="N682" t="e">
        <f t="shared" si="51"/>
        <v>#N/A</v>
      </c>
      <c r="O682" t="str">
        <f t="shared" si="52"/>
        <v/>
      </c>
      <c r="P682" t="str">
        <f t="shared" si="53"/>
        <v/>
      </c>
      <c r="Q682" t="str">
        <f t="shared" si="54"/>
        <v/>
      </c>
      <c r="R682">
        <v>1</v>
      </c>
    </row>
    <row r="683" spans="1:18">
      <c r="A683">
        <f>'PSP Data'!A686</f>
        <v>0</v>
      </c>
      <c r="B683" t="str">
        <f>IF('PSP Data'!B686=0,"",'PSP Data'!B686)</f>
        <v/>
      </c>
      <c r="C683">
        <f>'PSP Data'!C686</f>
        <v>0</v>
      </c>
      <c r="D683">
        <f>'PSP Data'!D686</f>
        <v>0</v>
      </c>
      <c r="E683">
        <f>'PSP Data'!E686</f>
        <v>0</v>
      </c>
      <c r="F683">
        <f>'PSP Data'!F686</f>
        <v>0</v>
      </c>
      <c r="G683">
        <f>'PSP Data'!G686</f>
        <v>0</v>
      </c>
      <c r="H683">
        <f>'PSP Data'!H686</f>
        <v>0</v>
      </c>
      <c r="I683">
        <f>'PSP Data'!I686</f>
        <v>0</v>
      </c>
      <c r="J683" s="29" t="e">
        <f t="shared" si="50"/>
        <v>#N/A</v>
      </c>
      <c r="K683" s="29" t="e">
        <f>IF(AND((A683&lt;'PSP Data'!$C$11),(A683&lt;&gt;0)),Analysis!C683,#N/A)</f>
        <v>#N/A</v>
      </c>
      <c r="L683" t="e">
        <f>IF(VLOOKUP(B683,Table1[],4)=0,"unknown", VLOOKUP(B683,Table1[],4))</f>
        <v>#N/A</v>
      </c>
      <c r="M683">
        <v>1</v>
      </c>
      <c r="N683" t="e">
        <f t="shared" si="51"/>
        <v>#N/A</v>
      </c>
      <c r="O683" t="str">
        <f t="shared" si="52"/>
        <v/>
      </c>
      <c r="P683" t="str">
        <f t="shared" si="53"/>
        <v/>
      </c>
      <c r="Q683" t="str">
        <f t="shared" si="54"/>
        <v/>
      </c>
      <c r="R683">
        <v>1</v>
      </c>
    </row>
    <row r="684" spans="1:18">
      <c r="A684">
        <f>'PSP Data'!A687</f>
        <v>0</v>
      </c>
      <c r="B684" t="str">
        <f>IF('PSP Data'!B687=0,"",'PSP Data'!B687)</f>
        <v/>
      </c>
      <c r="C684">
        <f>'PSP Data'!C687</f>
        <v>0</v>
      </c>
      <c r="D684">
        <f>'PSP Data'!D687</f>
        <v>0</v>
      </c>
      <c r="E684">
        <f>'PSP Data'!E687</f>
        <v>0</v>
      </c>
      <c r="F684">
        <f>'PSP Data'!F687</f>
        <v>0</v>
      </c>
      <c r="G684">
        <f>'PSP Data'!G687</f>
        <v>0</v>
      </c>
      <c r="H684">
        <f>'PSP Data'!H687</f>
        <v>0</v>
      </c>
      <c r="I684">
        <f>'PSP Data'!I687</f>
        <v>0</v>
      </c>
      <c r="J684" s="29" t="e">
        <f t="shared" si="50"/>
        <v>#N/A</v>
      </c>
      <c r="K684" s="29" t="e">
        <f>IF(AND((A684&lt;'PSP Data'!$C$11),(A684&lt;&gt;0)),Analysis!C684,#N/A)</f>
        <v>#N/A</v>
      </c>
      <c r="L684" t="e">
        <f>IF(VLOOKUP(B684,Table1[],4)=0,"unknown", VLOOKUP(B684,Table1[],4))</f>
        <v>#N/A</v>
      </c>
      <c r="M684">
        <v>1</v>
      </c>
      <c r="N684" t="e">
        <f t="shared" si="51"/>
        <v>#N/A</v>
      </c>
      <c r="O684" t="str">
        <f t="shared" si="52"/>
        <v/>
      </c>
      <c r="P684" t="str">
        <f t="shared" si="53"/>
        <v/>
      </c>
      <c r="Q684" t="str">
        <f t="shared" si="54"/>
        <v/>
      </c>
      <c r="R684">
        <v>1</v>
      </c>
    </row>
    <row r="685" spans="1:18">
      <c r="A685">
        <f>'PSP Data'!A688</f>
        <v>0</v>
      </c>
      <c r="B685" t="str">
        <f>IF('PSP Data'!B688=0,"",'PSP Data'!B688)</f>
        <v/>
      </c>
      <c r="C685">
        <f>'PSP Data'!C688</f>
        <v>0</v>
      </c>
      <c r="D685">
        <f>'PSP Data'!D688</f>
        <v>0</v>
      </c>
      <c r="E685">
        <f>'PSP Data'!E688</f>
        <v>0</v>
      </c>
      <c r="F685">
        <f>'PSP Data'!F688</f>
        <v>0</v>
      </c>
      <c r="G685">
        <f>'PSP Data'!G688</f>
        <v>0</v>
      </c>
      <c r="H685">
        <f>'PSP Data'!H688</f>
        <v>0</v>
      </c>
      <c r="I685">
        <f>'PSP Data'!I688</f>
        <v>0</v>
      </c>
      <c r="J685" s="29" t="e">
        <f t="shared" si="50"/>
        <v>#N/A</v>
      </c>
      <c r="K685" s="29" t="e">
        <f>IF(AND((A685&lt;'PSP Data'!$C$11),(A685&lt;&gt;0)),Analysis!C685,#N/A)</f>
        <v>#N/A</v>
      </c>
      <c r="L685" t="e">
        <f>IF(VLOOKUP(B685,Table1[],4)=0,"unknown", VLOOKUP(B685,Table1[],4))</f>
        <v>#N/A</v>
      </c>
      <c r="M685">
        <v>1</v>
      </c>
      <c r="N685" t="e">
        <f t="shared" si="51"/>
        <v>#N/A</v>
      </c>
      <c r="O685" t="str">
        <f t="shared" si="52"/>
        <v/>
      </c>
      <c r="P685" t="str">
        <f t="shared" si="53"/>
        <v/>
      </c>
      <c r="Q685" t="str">
        <f t="shared" si="54"/>
        <v/>
      </c>
      <c r="R685">
        <v>1</v>
      </c>
    </row>
    <row r="686" spans="1:18">
      <c r="A686">
        <f>'PSP Data'!A689</f>
        <v>0</v>
      </c>
      <c r="B686" t="str">
        <f>IF('PSP Data'!B689=0,"",'PSP Data'!B689)</f>
        <v/>
      </c>
      <c r="C686">
        <f>'PSP Data'!C689</f>
        <v>0</v>
      </c>
      <c r="D686">
        <f>'PSP Data'!D689</f>
        <v>0</v>
      </c>
      <c r="E686">
        <f>'PSP Data'!E689</f>
        <v>0</v>
      </c>
      <c r="F686">
        <f>'PSP Data'!F689</f>
        <v>0</v>
      </c>
      <c r="G686">
        <f>'PSP Data'!G689</f>
        <v>0</v>
      </c>
      <c r="H686">
        <f>'PSP Data'!H689</f>
        <v>0</v>
      </c>
      <c r="I686">
        <f>'PSP Data'!I689</f>
        <v>0</v>
      </c>
      <c r="J686" s="29" t="e">
        <f t="shared" si="50"/>
        <v>#N/A</v>
      </c>
      <c r="K686" s="29" t="e">
        <f>IF(AND((A686&lt;'PSP Data'!$C$11),(A686&lt;&gt;0)),Analysis!C686,#N/A)</f>
        <v>#N/A</v>
      </c>
      <c r="L686" t="e">
        <f>IF(VLOOKUP(B686,Table1[],4)=0,"unknown", VLOOKUP(B686,Table1[],4))</f>
        <v>#N/A</v>
      </c>
      <c r="M686">
        <v>1</v>
      </c>
      <c r="N686" t="e">
        <f t="shared" si="51"/>
        <v>#N/A</v>
      </c>
      <c r="O686" t="str">
        <f t="shared" si="52"/>
        <v/>
      </c>
      <c r="P686" t="str">
        <f t="shared" si="53"/>
        <v/>
      </c>
      <c r="Q686" t="str">
        <f t="shared" si="54"/>
        <v/>
      </c>
      <c r="R686">
        <v>1</v>
      </c>
    </row>
    <row r="687" spans="1:18">
      <c r="A687">
        <f>'PSP Data'!A690</f>
        <v>0</v>
      </c>
      <c r="B687" t="str">
        <f>IF('PSP Data'!B690=0,"",'PSP Data'!B690)</f>
        <v/>
      </c>
      <c r="C687">
        <f>'PSP Data'!C690</f>
        <v>0</v>
      </c>
      <c r="D687">
        <f>'PSP Data'!D690</f>
        <v>0</v>
      </c>
      <c r="E687">
        <f>'PSP Data'!E690</f>
        <v>0</v>
      </c>
      <c r="F687">
        <f>'PSP Data'!F690</f>
        <v>0</v>
      </c>
      <c r="G687">
        <f>'PSP Data'!G690</f>
        <v>0</v>
      </c>
      <c r="H687">
        <f>'PSP Data'!H690</f>
        <v>0</v>
      </c>
      <c r="I687">
        <f>'PSP Data'!I690</f>
        <v>0</v>
      </c>
      <c r="J687" s="29" t="e">
        <f t="shared" si="50"/>
        <v>#N/A</v>
      </c>
      <c r="K687" s="29" t="e">
        <f>IF(AND((A687&lt;'PSP Data'!$C$11),(A687&lt;&gt;0)),Analysis!C687,#N/A)</f>
        <v>#N/A</v>
      </c>
      <c r="L687" t="e">
        <f>IF(VLOOKUP(B687,Table1[],4)=0,"unknown", VLOOKUP(B687,Table1[],4))</f>
        <v>#N/A</v>
      </c>
      <c r="M687">
        <v>1</v>
      </c>
      <c r="N687" t="e">
        <f t="shared" si="51"/>
        <v>#N/A</v>
      </c>
      <c r="O687" t="str">
        <f t="shared" si="52"/>
        <v/>
      </c>
      <c r="P687" t="str">
        <f t="shared" si="53"/>
        <v/>
      </c>
      <c r="Q687" t="str">
        <f t="shared" si="54"/>
        <v/>
      </c>
      <c r="R687">
        <v>1</v>
      </c>
    </row>
    <row r="688" spans="1:18">
      <c r="A688">
        <f>'PSP Data'!A691</f>
        <v>0</v>
      </c>
      <c r="B688" t="str">
        <f>IF('PSP Data'!B691=0,"",'PSP Data'!B691)</f>
        <v/>
      </c>
      <c r="C688">
        <f>'PSP Data'!C691</f>
        <v>0</v>
      </c>
      <c r="D688">
        <f>'PSP Data'!D691</f>
        <v>0</v>
      </c>
      <c r="E688">
        <f>'PSP Data'!E691</f>
        <v>0</v>
      </c>
      <c r="F688">
        <f>'PSP Data'!F691</f>
        <v>0</v>
      </c>
      <c r="G688">
        <f>'PSP Data'!G691</f>
        <v>0</v>
      </c>
      <c r="H688">
        <f>'PSP Data'!H691</f>
        <v>0</v>
      </c>
      <c r="I688">
        <f>'PSP Data'!I691</f>
        <v>0</v>
      </c>
      <c r="J688" s="29" t="e">
        <f t="shared" si="50"/>
        <v>#N/A</v>
      </c>
      <c r="K688" s="29" t="e">
        <f>IF(AND((A688&lt;'PSP Data'!$C$11),(A688&lt;&gt;0)),Analysis!C688,#N/A)</f>
        <v>#N/A</v>
      </c>
      <c r="L688" t="e">
        <f>IF(VLOOKUP(B688,Table1[],4)=0,"unknown", VLOOKUP(B688,Table1[],4))</f>
        <v>#N/A</v>
      </c>
      <c r="M688">
        <v>1</v>
      </c>
      <c r="N688" t="e">
        <f t="shared" si="51"/>
        <v>#N/A</v>
      </c>
      <c r="O688" t="str">
        <f t="shared" si="52"/>
        <v/>
      </c>
      <c r="P688" t="str">
        <f t="shared" si="53"/>
        <v/>
      </c>
      <c r="Q688" t="str">
        <f t="shared" si="54"/>
        <v/>
      </c>
      <c r="R688">
        <v>1</v>
      </c>
    </row>
    <row r="689" spans="1:18">
      <c r="A689">
        <f>'PSP Data'!A692</f>
        <v>0</v>
      </c>
      <c r="B689" t="str">
        <f>IF('PSP Data'!B692=0,"",'PSP Data'!B692)</f>
        <v/>
      </c>
      <c r="C689">
        <f>'PSP Data'!C692</f>
        <v>0</v>
      </c>
      <c r="D689">
        <f>'PSP Data'!D692</f>
        <v>0</v>
      </c>
      <c r="E689">
        <f>'PSP Data'!E692</f>
        <v>0</v>
      </c>
      <c r="F689">
        <f>'PSP Data'!F692</f>
        <v>0</v>
      </c>
      <c r="G689">
        <f>'PSP Data'!G692</f>
        <v>0</v>
      </c>
      <c r="H689">
        <f>'PSP Data'!H692</f>
        <v>0</v>
      </c>
      <c r="I689">
        <f>'PSP Data'!I692</f>
        <v>0</v>
      </c>
      <c r="J689" s="29" t="e">
        <f t="shared" si="50"/>
        <v>#N/A</v>
      </c>
      <c r="K689" s="29" t="e">
        <f>IF(AND((A689&lt;'PSP Data'!$C$11),(A689&lt;&gt;0)),Analysis!C689,#N/A)</f>
        <v>#N/A</v>
      </c>
      <c r="L689" t="e">
        <f>IF(VLOOKUP(B689,Table1[],4)=0,"unknown", VLOOKUP(B689,Table1[],4))</f>
        <v>#N/A</v>
      </c>
      <c r="M689">
        <v>1</v>
      </c>
      <c r="N689" t="e">
        <f t="shared" si="51"/>
        <v>#N/A</v>
      </c>
      <c r="O689" t="str">
        <f t="shared" si="52"/>
        <v/>
      </c>
      <c r="P689" t="str">
        <f t="shared" si="53"/>
        <v/>
      </c>
      <c r="Q689" t="str">
        <f t="shared" si="54"/>
        <v/>
      </c>
      <c r="R689">
        <v>1</v>
      </c>
    </row>
    <row r="690" spans="1:18">
      <c r="A690">
        <f>'PSP Data'!A693</f>
        <v>0</v>
      </c>
      <c r="B690" t="str">
        <f>IF('PSP Data'!B693=0,"",'PSP Data'!B693)</f>
        <v/>
      </c>
      <c r="C690">
        <f>'PSP Data'!C693</f>
        <v>0</v>
      </c>
      <c r="D690">
        <f>'PSP Data'!D693</f>
        <v>0</v>
      </c>
      <c r="E690">
        <f>'PSP Data'!E693</f>
        <v>0</v>
      </c>
      <c r="F690">
        <f>'PSP Data'!F693</f>
        <v>0</v>
      </c>
      <c r="G690">
        <f>'PSP Data'!G693</f>
        <v>0</v>
      </c>
      <c r="H690">
        <f>'PSP Data'!H693</f>
        <v>0</v>
      </c>
      <c r="I690">
        <f>'PSP Data'!I693</f>
        <v>0</v>
      </c>
      <c r="J690" s="29" t="e">
        <f t="shared" si="50"/>
        <v>#N/A</v>
      </c>
      <c r="K690" s="29" t="e">
        <f>IF(AND((A690&lt;'PSP Data'!$C$11),(A690&lt;&gt;0)),Analysis!C690,#N/A)</f>
        <v>#N/A</v>
      </c>
      <c r="L690" t="e">
        <f>IF(VLOOKUP(B690,Table1[],4)=0,"unknown", VLOOKUP(B690,Table1[],4))</f>
        <v>#N/A</v>
      </c>
      <c r="M690">
        <v>1</v>
      </c>
      <c r="N690" t="e">
        <f t="shared" si="51"/>
        <v>#N/A</v>
      </c>
      <c r="O690" t="str">
        <f t="shared" si="52"/>
        <v/>
      </c>
      <c r="P690" t="str">
        <f t="shared" si="53"/>
        <v/>
      </c>
      <c r="Q690" t="str">
        <f t="shared" si="54"/>
        <v/>
      </c>
      <c r="R690">
        <v>1</v>
      </c>
    </row>
    <row r="691" spans="1:18">
      <c r="A691">
        <f>'PSP Data'!A694</f>
        <v>0</v>
      </c>
      <c r="B691" t="str">
        <f>IF('PSP Data'!B694=0,"",'PSP Data'!B694)</f>
        <v/>
      </c>
      <c r="C691">
        <f>'PSP Data'!C694</f>
        <v>0</v>
      </c>
      <c r="D691">
        <f>'PSP Data'!D694</f>
        <v>0</v>
      </c>
      <c r="E691">
        <f>'PSP Data'!E694</f>
        <v>0</v>
      </c>
      <c r="F691">
        <f>'PSP Data'!F694</f>
        <v>0</v>
      </c>
      <c r="G691">
        <f>'PSP Data'!G694</f>
        <v>0</v>
      </c>
      <c r="H691">
        <f>'PSP Data'!H694</f>
        <v>0</v>
      </c>
      <c r="I691">
        <f>'PSP Data'!I694</f>
        <v>0</v>
      </c>
      <c r="J691" s="29" t="e">
        <f t="shared" si="50"/>
        <v>#N/A</v>
      </c>
      <c r="K691" s="29" t="e">
        <f>IF(AND((A691&lt;'PSP Data'!$C$11),(A691&lt;&gt;0)),Analysis!C691,#N/A)</f>
        <v>#N/A</v>
      </c>
      <c r="L691" t="e">
        <f>IF(VLOOKUP(B691,Table1[],4)=0,"unknown", VLOOKUP(B691,Table1[],4))</f>
        <v>#N/A</v>
      </c>
      <c r="M691">
        <v>1</v>
      </c>
      <c r="N691" t="e">
        <f t="shared" si="51"/>
        <v>#N/A</v>
      </c>
      <c r="O691" t="str">
        <f t="shared" si="52"/>
        <v/>
      </c>
      <c r="P691" t="str">
        <f t="shared" si="53"/>
        <v/>
      </c>
      <c r="Q691" t="str">
        <f t="shared" si="54"/>
        <v/>
      </c>
      <c r="R691">
        <v>1</v>
      </c>
    </row>
    <row r="692" spans="1:18">
      <c r="A692">
        <f>'PSP Data'!A695</f>
        <v>0</v>
      </c>
      <c r="B692" t="str">
        <f>IF('PSP Data'!B695=0,"",'PSP Data'!B695)</f>
        <v/>
      </c>
      <c r="C692">
        <f>'PSP Data'!C695</f>
        <v>0</v>
      </c>
      <c r="D692">
        <f>'PSP Data'!D695</f>
        <v>0</v>
      </c>
      <c r="E692">
        <f>'PSP Data'!E695</f>
        <v>0</v>
      </c>
      <c r="F692">
        <f>'PSP Data'!F695</f>
        <v>0</v>
      </c>
      <c r="G692">
        <f>'PSP Data'!G695</f>
        <v>0</v>
      </c>
      <c r="H692">
        <f>'PSP Data'!H695</f>
        <v>0</v>
      </c>
      <c r="I692">
        <f>'PSP Data'!I695</f>
        <v>0</v>
      </c>
      <c r="J692" s="29" t="e">
        <f t="shared" si="50"/>
        <v>#N/A</v>
      </c>
      <c r="K692" s="29" t="e">
        <f>IF(AND((A692&lt;'PSP Data'!$C$11),(A692&lt;&gt;0)),Analysis!C692,#N/A)</f>
        <v>#N/A</v>
      </c>
      <c r="L692" t="e">
        <f>IF(VLOOKUP(B692,Table1[],4)=0,"unknown", VLOOKUP(B692,Table1[],4))</f>
        <v>#N/A</v>
      </c>
      <c r="M692">
        <v>1</v>
      </c>
      <c r="N692" t="e">
        <f t="shared" si="51"/>
        <v>#N/A</v>
      </c>
      <c r="O692" t="str">
        <f t="shared" si="52"/>
        <v/>
      </c>
      <c r="P692" t="str">
        <f t="shared" si="53"/>
        <v/>
      </c>
      <c r="Q692" t="str">
        <f t="shared" si="54"/>
        <v/>
      </c>
      <c r="R692">
        <v>1</v>
      </c>
    </row>
    <row r="693" spans="1:18">
      <c r="A693">
        <f>'PSP Data'!A696</f>
        <v>0</v>
      </c>
      <c r="B693" t="str">
        <f>IF('PSP Data'!B696=0,"",'PSP Data'!B696)</f>
        <v/>
      </c>
      <c r="C693">
        <f>'PSP Data'!C696</f>
        <v>0</v>
      </c>
      <c r="D693">
        <f>'PSP Data'!D696</f>
        <v>0</v>
      </c>
      <c r="E693">
        <f>'PSP Data'!E696</f>
        <v>0</v>
      </c>
      <c r="F693">
        <f>'PSP Data'!F696</f>
        <v>0</v>
      </c>
      <c r="G693">
        <f>'PSP Data'!G696</f>
        <v>0</v>
      </c>
      <c r="H693">
        <f>'PSP Data'!H696</f>
        <v>0</v>
      </c>
      <c r="I693">
        <f>'PSP Data'!I696</f>
        <v>0</v>
      </c>
      <c r="J693" s="29" t="e">
        <f t="shared" si="50"/>
        <v>#N/A</v>
      </c>
      <c r="K693" s="29" t="e">
        <f>IF(AND((A693&lt;'PSP Data'!$C$11),(A693&lt;&gt;0)),Analysis!C693,#N/A)</f>
        <v>#N/A</v>
      </c>
      <c r="L693" t="e">
        <f>IF(VLOOKUP(B693,Table1[],4)=0,"unknown", VLOOKUP(B693,Table1[],4))</f>
        <v>#N/A</v>
      </c>
      <c r="M693">
        <v>1</v>
      </c>
      <c r="N693" t="e">
        <f t="shared" si="51"/>
        <v>#N/A</v>
      </c>
      <c r="O693" t="str">
        <f t="shared" si="52"/>
        <v/>
      </c>
      <c r="P693" t="str">
        <f t="shared" si="53"/>
        <v/>
      </c>
      <c r="Q693" t="str">
        <f t="shared" si="54"/>
        <v/>
      </c>
      <c r="R693">
        <v>1</v>
      </c>
    </row>
    <row r="694" spans="1:18">
      <c r="A694">
        <f>'PSP Data'!A697</f>
        <v>0</v>
      </c>
      <c r="B694" t="str">
        <f>IF('PSP Data'!B697=0,"",'PSP Data'!B697)</f>
        <v/>
      </c>
      <c r="C694">
        <f>'PSP Data'!C697</f>
        <v>0</v>
      </c>
      <c r="D694">
        <f>'PSP Data'!D697</f>
        <v>0</v>
      </c>
      <c r="E694">
        <f>'PSP Data'!E697</f>
        <v>0</v>
      </c>
      <c r="F694">
        <f>'PSP Data'!F697</f>
        <v>0</v>
      </c>
      <c r="G694">
        <f>'PSP Data'!G697</f>
        <v>0</v>
      </c>
      <c r="H694">
        <f>'PSP Data'!H697</f>
        <v>0</v>
      </c>
      <c r="I694">
        <f>'PSP Data'!I697</f>
        <v>0</v>
      </c>
      <c r="J694" s="29" t="e">
        <f t="shared" si="50"/>
        <v>#N/A</v>
      </c>
      <c r="K694" s="29" t="e">
        <f>IF(AND((A694&lt;'PSP Data'!$C$11),(A694&lt;&gt;0)),Analysis!C694,#N/A)</f>
        <v>#N/A</v>
      </c>
      <c r="L694" t="e">
        <f>IF(VLOOKUP(B694,Table1[],4)=0,"unknown", VLOOKUP(B694,Table1[],4))</f>
        <v>#N/A</v>
      </c>
      <c r="M694">
        <v>1</v>
      </c>
      <c r="N694" t="e">
        <f t="shared" si="51"/>
        <v>#N/A</v>
      </c>
      <c r="O694" t="str">
        <f t="shared" si="52"/>
        <v/>
      </c>
      <c r="P694" t="str">
        <f t="shared" si="53"/>
        <v/>
      </c>
      <c r="Q694" t="str">
        <f t="shared" si="54"/>
        <v/>
      </c>
      <c r="R694">
        <v>1</v>
      </c>
    </row>
    <row r="695" spans="1:18">
      <c r="A695">
        <f>'PSP Data'!A698</f>
        <v>0</v>
      </c>
      <c r="B695" t="str">
        <f>IF('PSP Data'!B698=0,"",'PSP Data'!B698)</f>
        <v/>
      </c>
      <c r="C695">
        <f>'PSP Data'!C698</f>
        <v>0</v>
      </c>
      <c r="D695">
        <f>'PSP Data'!D698</f>
        <v>0</v>
      </c>
      <c r="E695">
        <f>'PSP Data'!E698</f>
        <v>0</v>
      </c>
      <c r="F695">
        <f>'PSP Data'!F698</f>
        <v>0</v>
      </c>
      <c r="G695">
        <f>'PSP Data'!G698</f>
        <v>0</v>
      </c>
      <c r="H695">
        <f>'PSP Data'!H698</f>
        <v>0</v>
      </c>
      <c r="I695">
        <f>'PSP Data'!I698</f>
        <v>0</v>
      </c>
      <c r="J695" s="29" t="e">
        <f t="shared" si="50"/>
        <v>#N/A</v>
      </c>
      <c r="K695" s="29" t="e">
        <f>IF(AND((A695&lt;'PSP Data'!$C$11),(A695&lt;&gt;0)),Analysis!C695,#N/A)</f>
        <v>#N/A</v>
      </c>
      <c r="L695" t="e">
        <f>IF(VLOOKUP(B695,Table1[],4)=0,"unknown", VLOOKUP(B695,Table1[],4))</f>
        <v>#N/A</v>
      </c>
      <c r="M695">
        <v>1</v>
      </c>
      <c r="N695" t="e">
        <f t="shared" si="51"/>
        <v>#N/A</v>
      </c>
      <c r="O695" t="str">
        <f t="shared" si="52"/>
        <v/>
      </c>
      <c r="P695" t="str">
        <f t="shared" si="53"/>
        <v/>
      </c>
      <c r="Q695" t="str">
        <f t="shared" si="54"/>
        <v/>
      </c>
      <c r="R695">
        <v>1</v>
      </c>
    </row>
    <row r="696" spans="1:18">
      <c r="A696">
        <f>'PSP Data'!A699</f>
        <v>0</v>
      </c>
      <c r="B696" t="str">
        <f>IF('PSP Data'!B699=0,"",'PSP Data'!B699)</f>
        <v/>
      </c>
      <c r="C696">
        <f>'PSP Data'!C699</f>
        <v>0</v>
      </c>
      <c r="D696">
        <f>'PSP Data'!D699</f>
        <v>0</v>
      </c>
      <c r="E696">
        <f>'PSP Data'!E699</f>
        <v>0</v>
      </c>
      <c r="F696">
        <f>'PSP Data'!F699</f>
        <v>0</v>
      </c>
      <c r="G696">
        <f>'PSP Data'!G699</f>
        <v>0</v>
      </c>
      <c r="H696">
        <f>'PSP Data'!H699</f>
        <v>0</v>
      </c>
      <c r="I696">
        <f>'PSP Data'!I699</f>
        <v>0</v>
      </c>
      <c r="J696" s="29" t="e">
        <f t="shared" si="50"/>
        <v>#N/A</v>
      </c>
      <c r="K696" s="29" t="e">
        <f>IF(AND((A696&lt;'PSP Data'!$C$11),(A696&lt;&gt;0)),Analysis!C696,#N/A)</f>
        <v>#N/A</v>
      </c>
      <c r="L696" t="e">
        <f>IF(VLOOKUP(B696,Table1[],4)=0,"unknown", VLOOKUP(B696,Table1[],4))</f>
        <v>#N/A</v>
      </c>
      <c r="M696">
        <v>1</v>
      </c>
      <c r="N696" t="e">
        <f t="shared" si="51"/>
        <v>#N/A</v>
      </c>
      <c r="O696" t="str">
        <f t="shared" si="52"/>
        <v/>
      </c>
      <c r="P696" t="str">
        <f t="shared" si="53"/>
        <v/>
      </c>
      <c r="Q696" t="str">
        <f t="shared" si="54"/>
        <v/>
      </c>
      <c r="R696">
        <v>1</v>
      </c>
    </row>
    <row r="697" spans="1:18">
      <c r="A697">
        <f>'PSP Data'!A700</f>
        <v>0</v>
      </c>
      <c r="B697" t="str">
        <f>IF('PSP Data'!B700=0,"",'PSP Data'!B700)</f>
        <v/>
      </c>
      <c r="C697">
        <f>'PSP Data'!C700</f>
        <v>0</v>
      </c>
      <c r="D697">
        <f>'PSP Data'!D700</f>
        <v>0</v>
      </c>
      <c r="E697">
        <f>'PSP Data'!E700</f>
        <v>0</v>
      </c>
      <c r="F697">
        <f>'PSP Data'!F700</f>
        <v>0</v>
      </c>
      <c r="G697">
        <f>'PSP Data'!G700</f>
        <v>0</v>
      </c>
      <c r="H697">
        <f>'PSP Data'!H700</f>
        <v>0</v>
      </c>
      <c r="I697">
        <f>'PSP Data'!I700</f>
        <v>0</v>
      </c>
      <c r="J697" s="29" t="e">
        <f t="shared" si="50"/>
        <v>#N/A</v>
      </c>
      <c r="K697" s="29" t="e">
        <f>IF(AND((A697&lt;'PSP Data'!$C$11),(A697&lt;&gt;0)),Analysis!C697,#N/A)</f>
        <v>#N/A</v>
      </c>
      <c r="L697" t="e">
        <f>IF(VLOOKUP(B697,Table1[],4)=0,"unknown", VLOOKUP(B697,Table1[],4))</f>
        <v>#N/A</v>
      </c>
      <c r="M697">
        <v>1</v>
      </c>
      <c r="N697" t="e">
        <f t="shared" si="51"/>
        <v>#N/A</v>
      </c>
      <c r="O697" t="str">
        <f t="shared" si="52"/>
        <v/>
      </c>
      <c r="P697" t="str">
        <f t="shared" si="53"/>
        <v/>
      </c>
      <c r="Q697" t="str">
        <f t="shared" si="54"/>
        <v/>
      </c>
      <c r="R697">
        <v>1</v>
      </c>
    </row>
    <row r="698" spans="1:18">
      <c r="A698">
        <f>'PSP Data'!A701</f>
        <v>0</v>
      </c>
      <c r="B698" t="str">
        <f>IF('PSP Data'!B701=0,"",'PSP Data'!B701)</f>
        <v/>
      </c>
      <c r="C698">
        <f>'PSP Data'!C701</f>
        <v>0</v>
      </c>
      <c r="D698">
        <f>'PSP Data'!D701</f>
        <v>0</v>
      </c>
      <c r="E698">
        <f>'PSP Data'!E701</f>
        <v>0</v>
      </c>
      <c r="F698">
        <f>'PSP Data'!F701</f>
        <v>0</v>
      </c>
      <c r="G698">
        <f>'PSP Data'!G701</f>
        <v>0</v>
      </c>
      <c r="H698">
        <f>'PSP Data'!H701</f>
        <v>0</v>
      </c>
      <c r="I698">
        <f>'PSP Data'!I701</f>
        <v>0</v>
      </c>
      <c r="J698" s="29" t="e">
        <f t="shared" si="50"/>
        <v>#N/A</v>
      </c>
      <c r="K698" s="29" t="e">
        <f>IF(AND((A698&lt;'PSP Data'!$C$11),(A698&lt;&gt;0)),Analysis!C698,#N/A)</f>
        <v>#N/A</v>
      </c>
      <c r="L698" t="e">
        <f>IF(VLOOKUP(B698,Table1[],4)=0,"unknown", VLOOKUP(B698,Table1[],4))</f>
        <v>#N/A</v>
      </c>
      <c r="M698">
        <v>1</v>
      </c>
      <c r="N698" t="e">
        <f t="shared" si="51"/>
        <v>#N/A</v>
      </c>
      <c r="O698" t="str">
        <f t="shared" si="52"/>
        <v/>
      </c>
      <c r="P698" t="str">
        <f t="shared" si="53"/>
        <v/>
      </c>
      <c r="Q698" t="str">
        <f t="shared" si="54"/>
        <v/>
      </c>
      <c r="R698">
        <v>1</v>
      </c>
    </row>
    <row r="699" spans="1:18">
      <c r="A699">
        <f>'PSP Data'!A702</f>
        <v>0</v>
      </c>
      <c r="B699" t="str">
        <f>IF('PSP Data'!B702=0,"",'PSP Data'!B702)</f>
        <v/>
      </c>
      <c r="C699">
        <f>'PSP Data'!C702</f>
        <v>0</v>
      </c>
      <c r="D699">
        <f>'PSP Data'!D702</f>
        <v>0</v>
      </c>
      <c r="E699">
        <f>'PSP Data'!E702</f>
        <v>0</v>
      </c>
      <c r="F699">
        <f>'PSP Data'!F702</f>
        <v>0</v>
      </c>
      <c r="G699">
        <f>'PSP Data'!G702</f>
        <v>0</v>
      </c>
      <c r="H699">
        <f>'PSP Data'!H702</f>
        <v>0</v>
      </c>
      <c r="I699">
        <f>'PSP Data'!I702</f>
        <v>0</v>
      </c>
      <c r="J699" s="29" t="e">
        <f t="shared" si="50"/>
        <v>#N/A</v>
      </c>
      <c r="K699" s="29" t="e">
        <f>IF(AND((A699&lt;'PSP Data'!$C$11),(A699&lt;&gt;0)),Analysis!C699,#N/A)</f>
        <v>#N/A</v>
      </c>
      <c r="L699" t="e">
        <f>IF(VLOOKUP(B699,Table1[],4)=0,"unknown", VLOOKUP(B699,Table1[],4))</f>
        <v>#N/A</v>
      </c>
      <c r="M699">
        <v>1</v>
      </c>
      <c r="N699" t="e">
        <f t="shared" si="51"/>
        <v>#N/A</v>
      </c>
      <c r="O699" t="str">
        <f t="shared" si="52"/>
        <v/>
      </c>
      <c r="P699" t="str">
        <f t="shared" si="53"/>
        <v/>
      </c>
      <c r="Q699" t="str">
        <f t="shared" si="54"/>
        <v/>
      </c>
      <c r="R699">
        <v>1</v>
      </c>
    </row>
    <row r="700" spans="1:18">
      <c r="A700">
        <f>'PSP Data'!A703</f>
        <v>0</v>
      </c>
      <c r="B700" t="str">
        <f>IF('PSP Data'!B703=0,"",'PSP Data'!B703)</f>
        <v/>
      </c>
      <c r="C700">
        <f>'PSP Data'!C703</f>
        <v>0</v>
      </c>
      <c r="D700">
        <f>'PSP Data'!D703</f>
        <v>0</v>
      </c>
      <c r="E700">
        <f>'PSP Data'!E703</f>
        <v>0</v>
      </c>
      <c r="F700">
        <f>'PSP Data'!F703</f>
        <v>0</v>
      </c>
      <c r="G700">
        <f>'PSP Data'!G703</f>
        <v>0</v>
      </c>
      <c r="H700">
        <f>'PSP Data'!H703</f>
        <v>0</v>
      </c>
      <c r="I700">
        <f>'PSP Data'!I703</f>
        <v>0</v>
      </c>
      <c r="J700" s="29" t="e">
        <f t="shared" si="50"/>
        <v>#N/A</v>
      </c>
      <c r="K700" s="29" t="e">
        <f>IF(AND((A700&lt;'PSP Data'!$C$11),(A700&lt;&gt;0)),Analysis!C700,#N/A)</f>
        <v>#N/A</v>
      </c>
      <c r="L700" t="e">
        <f>IF(VLOOKUP(B700,Table1[],4)=0,"unknown", VLOOKUP(B700,Table1[],4))</f>
        <v>#N/A</v>
      </c>
      <c r="M700">
        <v>1</v>
      </c>
      <c r="N700" t="e">
        <f t="shared" si="51"/>
        <v>#N/A</v>
      </c>
      <c r="O700" t="str">
        <f t="shared" si="52"/>
        <v/>
      </c>
      <c r="P700" t="str">
        <f t="shared" si="53"/>
        <v/>
      </c>
      <c r="Q700" t="str">
        <f t="shared" si="54"/>
        <v/>
      </c>
      <c r="R700">
        <v>1</v>
      </c>
    </row>
    <row r="701" spans="1:18">
      <c r="A701" t="e">
        <f>'PSP Data'!#REF!</f>
        <v>#REF!</v>
      </c>
      <c r="B701" t="str">
        <f>IF('PSP Data'!B704=0,"",'PSP Data'!B704)</f>
        <v/>
      </c>
      <c r="C701">
        <f>'PSP Data'!C704</f>
        <v>0</v>
      </c>
      <c r="D701">
        <f>'PSP Data'!D704</f>
        <v>0</v>
      </c>
      <c r="E701">
        <f>'PSP Data'!E704</f>
        <v>0</v>
      </c>
      <c r="F701">
        <f>'PSP Data'!F704</f>
        <v>0</v>
      </c>
      <c r="G701">
        <f>'PSP Data'!G704</f>
        <v>0</v>
      </c>
      <c r="H701">
        <f>'PSP Data'!H704</f>
        <v>0</v>
      </c>
      <c r="I701">
        <f>'PSP Data'!I704</f>
        <v>0</v>
      </c>
      <c r="J701" s="29" t="e">
        <f t="shared" si="50"/>
        <v>#N/A</v>
      </c>
      <c r="K701" s="29" t="e">
        <f>IF(AND((A701&lt;'PSP Data'!$C$11),(A701&lt;&gt;0)),Analysis!C701,#N/A)</f>
        <v>#REF!</v>
      </c>
      <c r="L701" t="e">
        <f>IF(VLOOKUP(B701,Table1[],4)=0,"unknown", VLOOKUP(B701,Table1[],4))</f>
        <v>#N/A</v>
      </c>
      <c r="M701">
        <v>1</v>
      </c>
      <c r="N701" t="e">
        <f t="shared" si="51"/>
        <v>#N/A</v>
      </c>
      <c r="O701" t="str">
        <f t="shared" si="52"/>
        <v/>
      </c>
      <c r="P701" t="str">
        <f t="shared" si="53"/>
        <v/>
      </c>
      <c r="Q701" t="str">
        <f t="shared" si="54"/>
        <v/>
      </c>
      <c r="R701">
        <v>1</v>
      </c>
    </row>
    <row r="702" spans="1:18">
      <c r="A702">
        <f>'PSP Data'!A705</f>
        <v>0</v>
      </c>
      <c r="B702" t="str">
        <f>IF('PSP Data'!B705=0,"",'PSP Data'!B705)</f>
        <v/>
      </c>
      <c r="C702">
        <f>'PSP Data'!C705</f>
        <v>0</v>
      </c>
      <c r="D702">
        <f>'PSP Data'!D705</f>
        <v>0</v>
      </c>
      <c r="E702">
        <f>'PSP Data'!E705</f>
        <v>0</v>
      </c>
      <c r="F702">
        <f>'PSP Data'!F705</f>
        <v>0</v>
      </c>
      <c r="G702">
        <f>'PSP Data'!G705</f>
        <v>0</v>
      </c>
      <c r="H702">
        <f>'PSP Data'!H705</f>
        <v>0</v>
      </c>
      <c r="I702">
        <f>'PSP Data'!I705</f>
        <v>0</v>
      </c>
      <c r="J702" s="29" t="e">
        <f t="shared" si="50"/>
        <v>#N/A</v>
      </c>
      <c r="K702" s="29" t="e">
        <f>IF(AND((A702&lt;'PSP Data'!$C$11),(A702&lt;&gt;0)),Analysis!C702,#N/A)</f>
        <v>#N/A</v>
      </c>
      <c r="L702" t="e">
        <f>IF(VLOOKUP(B702,Table1[],4)=0,"unknown", VLOOKUP(B702,Table1[],4))</f>
        <v>#N/A</v>
      </c>
      <c r="M702">
        <v>1</v>
      </c>
      <c r="N702" t="e">
        <f t="shared" si="51"/>
        <v>#N/A</v>
      </c>
      <c r="O702" t="str">
        <f t="shared" si="52"/>
        <v/>
      </c>
      <c r="P702" t="str">
        <f t="shared" si="53"/>
        <v/>
      </c>
      <c r="Q702" t="str">
        <f t="shared" si="54"/>
        <v/>
      </c>
      <c r="R702">
        <v>1</v>
      </c>
    </row>
    <row r="703" spans="1:18">
      <c r="A703">
        <f>'PSP Data'!A706</f>
        <v>0</v>
      </c>
      <c r="B703" t="str">
        <f>IF('PSP Data'!B706=0,"",'PSP Data'!B706)</f>
        <v/>
      </c>
      <c r="C703">
        <f>'PSP Data'!C706</f>
        <v>0</v>
      </c>
      <c r="D703">
        <f>'PSP Data'!D706</f>
        <v>0</v>
      </c>
      <c r="E703">
        <f>'PSP Data'!E706</f>
        <v>0</v>
      </c>
      <c r="F703">
        <f>'PSP Data'!F706</f>
        <v>0</v>
      </c>
      <c r="G703">
        <f>'PSP Data'!G706</f>
        <v>0</v>
      </c>
      <c r="H703">
        <f>'PSP Data'!H706</f>
        <v>0</v>
      </c>
      <c r="I703">
        <f>'PSP Data'!I706</f>
        <v>0</v>
      </c>
      <c r="J703" s="29" t="e">
        <f t="shared" si="50"/>
        <v>#N/A</v>
      </c>
      <c r="K703" s="29" t="e">
        <f>IF(AND((A703&lt;'PSP Data'!$C$11),(A703&lt;&gt;0)),Analysis!C703,#N/A)</f>
        <v>#N/A</v>
      </c>
      <c r="L703" t="e">
        <f>IF(VLOOKUP(B703,Table1[],4)=0,"unknown", VLOOKUP(B703,Table1[],4))</f>
        <v>#N/A</v>
      </c>
      <c r="M703">
        <v>1</v>
      </c>
      <c r="N703" t="e">
        <f t="shared" si="51"/>
        <v>#N/A</v>
      </c>
      <c r="O703" t="str">
        <f t="shared" si="52"/>
        <v/>
      </c>
      <c r="P703" t="str">
        <f t="shared" si="53"/>
        <v/>
      </c>
      <c r="Q703" t="str">
        <f t="shared" si="54"/>
        <v/>
      </c>
      <c r="R703">
        <v>1</v>
      </c>
    </row>
    <row r="704" spans="1:18">
      <c r="A704">
        <f>'PSP Data'!A707</f>
        <v>0</v>
      </c>
      <c r="B704" t="str">
        <f>IF('PSP Data'!B707=0,"",'PSP Data'!B707)</f>
        <v/>
      </c>
      <c r="C704">
        <f>'PSP Data'!C707</f>
        <v>0</v>
      </c>
      <c r="D704">
        <f>'PSP Data'!D707</f>
        <v>0</v>
      </c>
      <c r="E704">
        <f>'PSP Data'!E707</f>
        <v>0</v>
      </c>
      <c r="F704">
        <f>'PSP Data'!F707</f>
        <v>0</v>
      </c>
      <c r="G704">
        <f>'PSP Data'!G707</f>
        <v>0</v>
      </c>
      <c r="H704">
        <f>'PSP Data'!H707</f>
        <v>0</v>
      </c>
      <c r="I704">
        <f>'PSP Data'!I707</f>
        <v>0</v>
      </c>
      <c r="J704" s="29" t="e">
        <f t="shared" si="50"/>
        <v>#N/A</v>
      </c>
      <c r="K704" s="29" t="e">
        <f>IF(AND((A704&lt;'PSP Data'!$C$11),(A704&lt;&gt;0)),Analysis!C704,#N/A)</f>
        <v>#N/A</v>
      </c>
      <c r="L704" t="e">
        <f>IF(VLOOKUP(B704,Table1[],4)=0,"unknown", VLOOKUP(B704,Table1[],4))</f>
        <v>#N/A</v>
      </c>
      <c r="M704">
        <v>1</v>
      </c>
      <c r="N704" t="e">
        <f t="shared" si="51"/>
        <v>#N/A</v>
      </c>
      <c r="O704" t="str">
        <f t="shared" si="52"/>
        <v/>
      </c>
      <c r="P704" t="str">
        <f t="shared" si="53"/>
        <v/>
      </c>
      <c r="Q704" t="str">
        <f t="shared" si="54"/>
        <v/>
      </c>
      <c r="R704">
        <v>1</v>
      </c>
    </row>
    <row r="705" spans="1:18">
      <c r="A705">
        <f>'PSP Data'!A708</f>
        <v>0</v>
      </c>
      <c r="B705" t="str">
        <f>IF('PSP Data'!B708=0,"",'PSP Data'!B708)</f>
        <v/>
      </c>
      <c r="C705">
        <f>'PSP Data'!C708</f>
        <v>0</v>
      </c>
      <c r="D705">
        <f>'PSP Data'!D708</f>
        <v>0</v>
      </c>
      <c r="E705">
        <f>'PSP Data'!E708</f>
        <v>0</v>
      </c>
      <c r="F705">
        <f>'PSP Data'!F708</f>
        <v>0</v>
      </c>
      <c r="G705">
        <f>'PSP Data'!G708</f>
        <v>0</v>
      </c>
      <c r="H705">
        <f>'PSP Data'!H708</f>
        <v>0</v>
      </c>
      <c r="I705">
        <f>'PSP Data'!I708</f>
        <v>0</v>
      </c>
      <c r="J705" s="29" t="e">
        <f t="shared" si="50"/>
        <v>#N/A</v>
      </c>
      <c r="K705" s="29" t="e">
        <f>IF(AND((A705&lt;'PSP Data'!$C$11),(A705&lt;&gt;0)),Analysis!C705,#N/A)</f>
        <v>#N/A</v>
      </c>
      <c r="L705" t="e">
        <f>IF(VLOOKUP(B705,Table1[],4)=0,"unknown", VLOOKUP(B705,Table1[],4))</f>
        <v>#N/A</v>
      </c>
      <c r="M705">
        <v>1</v>
      </c>
      <c r="N705" t="e">
        <f t="shared" si="51"/>
        <v>#N/A</v>
      </c>
      <c r="O705" t="str">
        <f t="shared" si="52"/>
        <v/>
      </c>
      <c r="P705" t="str">
        <f t="shared" si="53"/>
        <v/>
      </c>
      <c r="Q705" t="str">
        <f t="shared" si="54"/>
        <v/>
      </c>
      <c r="R705">
        <v>1</v>
      </c>
    </row>
    <row r="706" spans="1:18">
      <c r="A706">
        <f>'PSP Data'!A709</f>
        <v>0</v>
      </c>
      <c r="B706" t="str">
        <f>IF('PSP Data'!B709=0,"",'PSP Data'!B709)</f>
        <v/>
      </c>
      <c r="C706">
        <f>'PSP Data'!C709</f>
        <v>0</v>
      </c>
      <c r="D706">
        <f>'PSP Data'!D709</f>
        <v>0</v>
      </c>
      <c r="E706">
        <f>'PSP Data'!E709</f>
        <v>0</v>
      </c>
      <c r="F706">
        <f>'PSP Data'!F709</f>
        <v>0</v>
      </c>
      <c r="G706">
        <f>'PSP Data'!G709</f>
        <v>0</v>
      </c>
      <c r="H706">
        <f>'PSP Data'!H709</f>
        <v>0</v>
      </c>
      <c r="I706">
        <f>'PSP Data'!I709</f>
        <v>0</v>
      </c>
      <c r="J706" s="29" t="e">
        <f t="shared" si="50"/>
        <v>#N/A</v>
      </c>
      <c r="K706" s="29" t="e">
        <f>IF(AND((A706&lt;'PSP Data'!$C$11),(A706&lt;&gt;0)),Analysis!C706,#N/A)</f>
        <v>#N/A</v>
      </c>
      <c r="L706" t="e">
        <f>IF(VLOOKUP(B706,Table1[],4)=0,"unknown", VLOOKUP(B706,Table1[],4))</f>
        <v>#N/A</v>
      </c>
      <c r="M706">
        <v>1</v>
      </c>
      <c r="N706" t="e">
        <f t="shared" si="51"/>
        <v>#N/A</v>
      </c>
      <c r="O706" t="str">
        <f t="shared" si="52"/>
        <v/>
      </c>
      <c r="P706" t="str">
        <f t="shared" si="53"/>
        <v/>
      </c>
      <c r="Q706" t="str">
        <f t="shared" si="54"/>
        <v/>
      </c>
      <c r="R706">
        <v>1</v>
      </c>
    </row>
    <row r="707" spans="1:18">
      <c r="A707">
        <f>'PSP Data'!A710</f>
        <v>0</v>
      </c>
      <c r="B707" t="str">
        <f>IF('PSP Data'!B710=0,"",'PSP Data'!B710)</f>
        <v/>
      </c>
      <c r="C707">
        <f>'PSP Data'!C710</f>
        <v>0</v>
      </c>
      <c r="D707">
        <f>'PSP Data'!D710</f>
        <v>0</v>
      </c>
      <c r="E707">
        <f>'PSP Data'!E710</f>
        <v>0</v>
      </c>
      <c r="F707">
        <f>'PSP Data'!F710</f>
        <v>0</v>
      </c>
      <c r="G707">
        <f>'PSP Data'!G710</f>
        <v>0</v>
      </c>
      <c r="H707">
        <f>'PSP Data'!H710</f>
        <v>0</v>
      </c>
      <c r="I707">
        <f>'PSP Data'!I710</f>
        <v>0</v>
      </c>
      <c r="J707" s="29" t="e">
        <f t="shared" si="50"/>
        <v>#N/A</v>
      </c>
      <c r="K707" s="29" t="e">
        <f>IF(AND((A707&lt;'PSP Data'!$C$11),(A707&lt;&gt;0)),Analysis!C707,#N/A)</f>
        <v>#N/A</v>
      </c>
      <c r="L707" t="e">
        <f>IF(VLOOKUP(B707,Table1[],4)=0,"unknown", VLOOKUP(B707,Table1[],4))</f>
        <v>#N/A</v>
      </c>
      <c r="M707">
        <v>1</v>
      </c>
      <c r="N707" t="e">
        <f t="shared" si="51"/>
        <v>#N/A</v>
      </c>
      <c r="O707" t="str">
        <f t="shared" si="52"/>
        <v/>
      </c>
      <c r="P707" t="str">
        <f t="shared" si="53"/>
        <v/>
      </c>
      <c r="Q707" t="str">
        <f t="shared" si="54"/>
        <v/>
      </c>
      <c r="R707">
        <v>1</v>
      </c>
    </row>
    <row r="708" spans="1:18">
      <c r="A708">
        <f>'PSP Data'!A711</f>
        <v>0</v>
      </c>
      <c r="B708" t="str">
        <f>IF('PSP Data'!B711=0,"",'PSP Data'!B711)</f>
        <v/>
      </c>
      <c r="C708">
        <f>'PSP Data'!C711</f>
        <v>0</v>
      </c>
      <c r="D708">
        <f>'PSP Data'!D711</f>
        <v>0</v>
      </c>
      <c r="E708">
        <f>'PSP Data'!E711</f>
        <v>0</v>
      </c>
      <c r="F708">
        <f>'PSP Data'!F711</f>
        <v>0</v>
      </c>
      <c r="G708">
        <f>'PSP Data'!G711</f>
        <v>0</v>
      </c>
      <c r="H708">
        <f>'PSP Data'!H711</f>
        <v>0</v>
      </c>
      <c r="I708">
        <f>'PSP Data'!I711</f>
        <v>0</v>
      </c>
      <c r="J708" s="29" t="e">
        <f t="shared" si="50"/>
        <v>#N/A</v>
      </c>
      <c r="K708" s="29" t="e">
        <f>IF(AND((A708&lt;'PSP Data'!$C$11),(A708&lt;&gt;0)),Analysis!C708,#N/A)</f>
        <v>#N/A</v>
      </c>
      <c r="L708" t="e">
        <f>IF(VLOOKUP(B708,Table1[],4)=0,"unknown", VLOOKUP(B708,Table1[],4))</f>
        <v>#N/A</v>
      </c>
      <c r="M708">
        <v>1</v>
      </c>
      <c r="N708" t="e">
        <f t="shared" si="51"/>
        <v>#N/A</v>
      </c>
      <c r="O708" t="str">
        <f t="shared" si="52"/>
        <v/>
      </c>
      <c r="P708" t="str">
        <f t="shared" si="53"/>
        <v/>
      </c>
      <c r="Q708" t="str">
        <f t="shared" si="54"/>
        <v/>
      </c>
      <c r="R708">
        <v>1</v>
      </c>
    </row>
    <row r="709" spans="1:18">
      <c r="A709">
        <f>'PSP Data'!A712</f>
        <v>0</v>
      </c>
      <c r="B709" t="str">
        <f>IF('PSP Data'!B712=0,"",'PSP Data'!B712)</f>
        <v/>
      </c>
      <c r="C709">
        <f>'PSP Data'!C712</f>
        <v>0</v>
      </c>
      <c r="D709">
        <f>'PSP Data'!D712</f>
        <v>0</v>
      </c>
      <c r="E709">
        <f>'PSP Data'!E712</f>
        <v>0</v>
      </c>
      <c r="F709">
        <f>'PSP Data'!F712</f>
        <v>0</v>
      </c>
      <c r="G709">
        <f>'PSP Data'!G712</f>
        <v>0</v>
      </c>
      <c r="H709">
        <f>'PSP Data'!H712</f>
        <v>0</v>
      </c>
      <c r="I709">
        <f>'PSP Data'!I712</f>
        <v>0</v>
      </c>
      <c r="J709" s="29" t="e">
        <f t="shared" si="50"/>
        <v>#N/A</v>
      </c>
      <c r="K709" s="29" t="e">
        <f>IF(AND((A709&lt;'PSP Data'!$C$11),(A709&lt;&gt;0)),Analysis!C709,#N/A)</f>
        <v>#N/A</v>
      </c>
      <c r="L709" t="e">
        <f>IF(VLOOKUP(B709,Table1[],4)=0,"unknown", VLOOKUP(B709,Table1[],4))</f>
        <v>#N/A</v>
      </c>
      <c r="M709">
        <v>1</v>
      </c>
      <c r="N709" t="e">
        <f t="shared" si="51"/>
        <v>#N/A</v>
      </c>
      <c r="O709" t="str">
        <f t="shared" si="52"/>
        <v/>
      </c>
      <c r="P709" t="str">
        <f t="shared" si="53"/>
        <v/>
      </c>
      <c r="Q709" t="str">
        <f t="shared" si="54"/>
        <v/>
      </c>
      <c r="R709">
        <v>1</v>
      </c>
    </row>
    <row r="710" spans="1:18">
      <c r="A710">
        <f>'PSP Data'!A713</f>
        <v>0</v>
      </c>
      <c r="B710" t="str">
        <f>IF('PSP Data'!B713=0,"",'PSP Data'!B713)</f>
        <v/>
      </c>
      <c r="C710">
        <f>'PSP Data'!C713</f>
        <v>0</v>
      </c>
      <c r="D710">
        <f>'PSP Data'!D713</f>
        <v>0</v>
      </c>
      <c r="E710">
        <f>'PSP Data'!E713</f>
        <v>0</v>
      </c>
      <c r="F710">
        <f>'PSP Data'!F713</f>
        <v>0</v>
      </c>
      <c r="G710">
        <f>'PSP Data'!G713</f>
        <v>0</v>
      </c>
      <c r="H710">
        <f>'PSP Data'!H713</f>
        <v>0</v>
      </c>
      <c r="I710">
        <f>'PSP Data'!I713</f>
        <v>0</v>
      </c>
      <c r="J710" s="29" t="e">
        <f t="shared" si="50"/>
        <v>#N/A</v>
      </c>
      <c r="K710" s="29" t="e">
        <f>IF(AND((A710&lt;'PSP Data'!$C$11),(A710&lt;&gt;0)),Analysis!C710,#N/A)</f>
        <v>#N/A</v>
      </c>
      <c r="L710" t="e">
        <f>IF(VLOOKUP(B710,Table1[],4)=0,"unknown", VLOOKUP(B710,Table1[],4))</f>
        <v>#N/A</v>
      </c>
      <c r="M710">
        <v>1</v>
      </c>
      <c r="N710" t="e">
        <f t="shared" si="51"/>
        <v>#N/A</v>
      </c>
      <c r="O710" t="str">
        <f t="shared" si="52"/>
        <v/>
      </c>
      <c r="P710" t="str">
        <f t="shared" si="53"/>
        <v/>
      </c>
      <c r="Q710" t="str">
        <f t="shared" si="54"/>
        <v/>
      </c>
      <c r="R710">
        <v>1</v>
      </c>
    </row>
    <row r="711" spans="1:18">
      <c r="A711">
        <f>'PSP Data'!A714</f>
        <v>0</v>
      </c>
      <c r="B711" t="str">
        <f>IF('PSP Data'!B714=0,"",'PSP Data'!B714)</f>
        <v/>
      </c>
      <c r="C711">
        <f>'PSP Data'!C714</f>
        <v>0</v>
      </c>
      <c r="D711">
        <f>'PSP Data'!D714</f>
        <v>0</v>
      </c>
      <c r="E711">
        <f>'PSP Data'!E714</f>
        <v>0</v>
      </c>
      <c r="F711">
        <f>'PSP Data'!F714</f>
        <v>0</v>
      </c>
      <c r="G711">
        <f>'PSP Data'!G714</f>
        <v>0</v>
      </c>
      <c r="H711">
        <f>'PSP Data'!H714</f>
        <v>0</v>
      </c>
      <c r="I711">
        <f>'PSP Data'!I714</f>
        <v>0</v>
      </c>
      <c r="J711" s="29" t="e">
        <f t="shared" si="50"/>
        <v>#N/A</v>
      </c>
      <c r="K711" s="29" t="e">
        <f>IF(AND((A711&lt;'PSP Data'!$C$11),(A711&lt;&gt;0)),Analysis!C711,#N/A)</f>
        <v>#N/A</v>
      </c>
      <c r="L711" t="e">
        <f>IF(VLOOKUP(B711,Table1[],4)=0,"unknown", VLOOKUP(B711,Table1[],4))</f>
        <v>#N/A</v>
      </c>
      <c r="M711">
        <v>1</v>
      </c>
      <c r="N711" t="e">
        <f t="shared" si="51"/>
        <v>#N/A</v>
      </c>
      <c r="O711" t="str">
        <f t="shared" si="52"/>
        <v/>
      </c>
      <c r="P711" t="str">
        <f t="shared" si="53"/>
        <v/>
      </c>
      <c r="Q711" t="str">
        <f t="shared" si="54"/>
        <v/>
      </c>
      <c r="R711">
        <v>1</v>
      </c>
    </row>
    <row r="712" spans="1:18">
      <c r="A712">
        <f>'PSP Data'!A715</f>
        <v>0</v>
      </c>
      <c r="B712" t="str">
        <f>IF('PSP Data'!B715=0,"",'PSP Data'!B715)</f>
        <v/>
      </c>
      <c r="C712">
        <f>'PSP Data'!C715</f>
        <v>0</v>
      </c>
      <c r="D712">
        <f>'PSP Data'!D715</f>
        <v>0</v>
      </c>
      <c r="E712">
        <f>'PSP Data'!E715</f>
        <v>0</v>
      </c>
      <c r="F712">
        <f>'PSP Data'!F715</f>
        <v>0</v>
      </c>
      <c r="G712">
        <f>'PSP Data'!G715</f>
        <v>0</v>
      </c>
      <c r="H712">
        <f>'PSP Data'!H715</f>
        <v>0</v>
      </c>
      <c r="I712">
        <f>'PSP Data'!I715</f>
        <v>0</v>
      </c>
      <c r="J712" s="29" t="e">
        <f t="shared" si="50"/>
        <v>#N/A</v>
      </c>
      <c r="K712" s="29" t="e">
        <f>IF(AND((A712&lt;'PSP Data'!$C$11),(A712&lt;&gt;0)),Analysis!C712,#N/A)</f>
        <v>#N/A</v>
      </c>
      <c r="L712" t="e">
        <f>IF(VLOOKUP(B712,Table1[],4)=0,"unknown", VLOOKUP(B712,Table1[],4))</f>
        <v>#N/A</v>
      </c>
      <c r="M712">
        <v>1</v>
      </c>
      <c r="N712" t="e">
        <f t="shared" si="51"/>
        <v>#N/A</v>
      </c>
      <c r="O712" t="str">
        <f t="shared" si="52"/>
        <v/>
      </c>
      <c r="P712" t="str">
        <f t="shared" si="53"/>
        <v/>
      </c>
      <c r="Q712" t="str">
        <f t="shared" si="54"/>
        <v/>
      </c>
      <c r="R712">
        <v>1</v>
      </c>
    </row>
    <row r="713" spans="1:18">
      <c r="A713">
        <f>'PSP Data'!A716</f>
        <v>0</v>
      </c>
      <c r="B713" t="str">
        <f>IF('PSP Data'!B716=0,"",'PSP Data'!B716)</f>
        <v/>
      </c>
      <c r="C713">
        <f>'PSP Data'!C716</f>
        <v>0</v>
      </c>
      <c r="D713">
        <f>'PSP Data'!D716</f>
        <v>0</v>
      </c>
      <c r="E713">
        <f>'PSP Data'!E716</f>
        <v>0</v>
      </c>
      <c r="F713">
        <f>'PSP Data'!F716</f>
        <v>0</v>
      </c>
      <c r="G713">
        <f>'PSP Data'!G716</f>
        <v>0</v>
      </c>
      <c r="H713">
        <f>'PSP Data'!H716</f>
        <v>0</v>
      </c>
      <c r="I713">
        <f>'PSP Data'!I716</f>
        <v>0</v>
      </c>
      <c r="J713" s="29" t="e">
        <f t="shared" si="50"/>
        <v>#N/A</v>
      </c>
      <c r="K713" s="29" t="e">
        <f>IF(AND((A713&lt;'PSP Data'!$C$11),(A713&lt;&gt;0)),Analysis!C713,#N/A)</f>
        <v>#N/A</v>
      </c>
      <c r="L713" t="e">
        <f>IF(VLOOKUP(B713,Table1[],4)=0,"unknown", VLOOKUP(B713,Table1[],4))</f>
        <v>#N/A</v>
      </c>
      <c r="M713">
        <v>1</v>
      </c>
      <c r="N713" t="e">
        <f t="shared" si="51"/>
        <v>#N/A</v>
      </c>
      <c r="O713" t="str">
        <f t="shared" si="52"/>
        <v/>
      </c>
      <c r="P713" t="str">
        <f t="shared" si="53"/>
        <v/>
      </c>
      <c r="Q713" t="str">
        <f t="shared" si="54"/>
        <v/>
      </c>
      <c r="R713">
        <v>1</v>
      </c>
    </row>
    <row r="714" spans="1:18">
      <c r="A714">
        <f>'PSP Data'!A717</f>
        <v>0</v>
      </c>
      <c r="B714" t="str">
        <f>IF('PSP Data'!B717=0,"",'PSP Data'!B717)</f>
        <v/>
      </c>
      <c r="C714">
        <f>'PSP Data'!C717</f>
        <v>0</v>
      </c>
      <c r="D714">
        <f>'PSP Data'!D717</f>
        <v>0</v>
      </c>
      <c r="E714">
        <f>'PSP Data'!E717</f>
        <v>0</v>
      </c>
      <c r="F714">
        <f>'PSP Data'!F717</f>
        <v>0</v>
      </c>
      <c r="G714">
        <f>'PSP Data'!G717</f>
        <v>0</v>
      </c>
      <c r="H714">
        <f>'PSP Data'!H717</f>
        <v>0</v>
      </c>
      <c r="I714">
        <f>'PSP Data'!I717</f>
        <v>0</v>
      </c>
      <c r="J714" s="29" t="e">
        <f t="shared" si="50"/>
        <v>#N/A</v>
      </c>
      <c r="K714" s="29" t="e">
        <f>IF(AND((A714&lt;'PSP Data'!$C$11),(A714&lt;&gt;0)),Analysis!C714,#N/A)</f>
        <v>#N/A</v>
      </c>
      <c r="L714" t="e">
        <f>IF(VLOOKUP(B714,Table1[],4)=0,"unknown", VLOOKUP(B714,Table1[],4))</f>
        <v>#N/A</v>
      </c>
      <c r="M714">
        <v>1</v>
      </c>
      <c r="N714" t="e">
        <f t="shared" si="51"/>
        <v>#N/A</v>
      </c>
      <c r="O714" t="str">
        <f t="shared" si="52"/>
        <v/>
      </c>
      <c r="P714" t="str">
        <f t="shared" si="53"/>
        <v/>
      </c>
      <c r="Q714" t="str">
        <f t="shared" si="54"/>
        <v/>
      </c>
      <c r="R714">
        <v>1</v>
      </c>
    </row>
    <row r="715" spans="1:18">
      <c r="A715">
        <f>'PSP Data'!A718</f>
        <v>0</v>
      </c>
      <c r="B715" t="str">
        <f>IF('PSP Data'!B718=0,"",'PSP Data'!B718)</f>
        <v/>
      </c>
      <c r="C715">
        <f>'PSP Data'!C718</f>
        <v>0</v>
      </c>
      <c r="D715">
        <f>'PSP Data'!D718</f>
        <v>0</v>
      </c>
      <c r="E715">
        <f>'PSP Data'!E718</f>
        <v>0</v>
      </c>
      <c r="F715">
        <f>'PSP Data'!F718</f>
        <v>0</v>
      </c>
      <c r="G715">
        <f>'PSP Data'!G718</f>
        <v>0</v>
      </c>
      <c r="H715">
        <f>'PSP Data'!H718</f>
        <v>0</v>
      </c>
      <c r="I715">
        <f>'PSP Data'!I718</f>
        <v>0</v>
      </c>
      <c r="J715" s="29" t="e">
        <f t="shared" si="50"/>
        <v>#N/A</v>
      </c>
      <c r="K715" s="29" t="e">
        <f>IF(AND((A715&lt;'PSP Data'!$C$11),(A715&lt;&gt;0)),Analysis!C715,#N/A)</f>
        <v>#N/A</v>
      </c>
      <c r="L715" t="e">
        <f>IF(VLOOKUP(B715,Table1[],4)=0,"unknown", VLOOKUP(B715,Table1[],4))</f>
        <v>#N/A</v>
      </c>
      <c r="M715">
        <v>1</v>
      </c>
      <c r="N715" t="e">
        <f t="shared" si="51"/>
        <v>#N/A</v>
      </c>
      <c r="O715" t="str">
        <f t="shared" si="52"/>
        <v/>
      </c>
      <c r="P715" t="str">
        <f t="shared" si="53"/>
        <v/>
      </c>
      <c r="Q715" t="str">
        <f t="shared" si="54"/>
        <v/>
      </c>
      <c r="R715">
        <v>1</v>
      </c>
    </row>
    <row r="716" spans="1:18">
      <c r="A716">
        <f>'PSP Data'!A719</f>
        <v>0</v>
      </c>
      <c r="B716" t="str">
        <f>IF('PSP Data'!B719=0,"",'PSP Data'!B719)</f>
        <v/>
      </c>
      <c r="C716">
        <f>'PSP Data'!C719</f>
        <v>0</v>
      </c>
      <c r="D716">
        <f>'PSP Data'!D719</f>
        <v>0</v>
      </c>
      <c r="E716">
        <f>'PSP Data'!E719</f>
        <v>0</v>
      </c>
      <c r="F716">
        <f>'PSP Data'!F719</f>
        <v>0</v>
      </c>
      <c r="G716">
        <f>'PSP Data'!G719</f>
        <v>0</v>
      </c>
      <c r="H716">
        <f>'PSP Data'!H719</f>
        <v>0</v>
      </c>
      <c r="I716">
        <f>'PSP Data'!I719</f>
        <v>0</v>
      </c>
      <c r="J716" s="29" t="e">
        <f t="shared" si="50"/>
        <v>#N/A</v>
      </c>
      <c r="K716" s="29" t="e">
        <f>IF(AND((A716&lt;'PSP Data'!$C$11),(A716&lt;&gt;0)),Analysis!C716,#N/A)</f>
        <v>#N/A</v>
      </c>
      <c r="L716" t="e">
        <f>IF(VLOOKUP(B716,Table1[],4)=0,"unknown", VLOOKUP(B716,Table1[],4))</f>
        <v>#N/A</v>
      </c>
      <c r="M716">
        <v>1</v>
      </c>
      <c r="N716" t="e">
        <f t="shared" si="51"/>
        <v>#N/A</v>
      </c>
      <c r="O716" t="str">
        <f t="shared" si="52"/>
        <v/>
      </c>
      <c r="P716" t="str">
        <f t="shared" si="53"/>
        <v/>
      </c>
      <c r="Q716" t="str">
        <f t="shared" si="54"/>
        <v/>
      </c>
      <c r="R716">
        <v>1</v>
      </c>
    </row>
    <row r="717" spans="1:18">
      <c r="A717">
        <f>'PSP Data'!A720</f>
        <v>0</v>
      </c>
      <c r="B717" t="str">
        <f>IF('PSP Data'!B720=0,"",'PSP Data'!B720)</f>
        <v/>
      </c>
      <c r="C717">
        <f>'PSP Data'!C720</f>
        <v>0</v>
      </c>
      <c r="D717">
        <f>'PSP Data'!D720</f>
        <v>0</v>
      </c>
      <c r="E717">
        <f>'PSP Data'!E720</f>
        <v>0</v>
      </c>
      <c r="F717">
        <f>'PSP Data'!F720</f>
        <v>0</v>
      </c>
      <c r="G717">
        <f>'PSP Data'!G720</f>
        <v>0</v>
      </c>
      <c r="H717">
        <f>'PSP Data'!H720</f>
        <v>0</v>
      </c>
      <c r="I717">
        <f>'PSP Data'!I720</f>
        <v>0</v>
      </c>
      <c r="J717" s="29" t="e">
        <f t="shared" si="50"/>
        <v>#N/A</v>
      </c>
      <c r="K717" s="29" t="e">
        <f>IF(AND((A717&lt;'PSP Data'!$C$11),(A717&lt;&gt;0)),Analysis!C717,#N/A)</f>
        <v>#N/A</v>
      </c>
      <c r="L717" t="e">
        <f>IF(VLOOKUP(B717,Table1[],4)=0,"unknown", VLOOKUP(B717,Table1[],4))</f>
        <v>#N/A</v>
      </c>
      <c r="M717">
        <v>1</v>
      </c>
      <c r="N717" t="e">
        <f t="shared" si="51"/>
        <v>#N/A</v>
      </c>
      <c r="O717" t="str">
        <f t="shared" si="52"/>
        <v/>
      </c>
      <c r="P717" t="str">
        <f t="shared" si="53"/>
        <v/>
      </c>
      <c r="Q717" t="str">
        <f t="shared" si="54"/>
        <v/>
      </c>
      <c r="R717">
        <v>1</v>
      </c>
    </row>
    <row r="718" spans="1:18">
      <c r="A718">
        <f>'PSP Data'!A721</f>
        <v>0</v>
      </c>
      <c r="B718" t="str">
        <f>IF('PSP Data'!B721=0,"",'PSP Data'!B721)</f>
        <v/>
      </c>
      <c r="C718">
        <f>'PSP Data'!C721</f>
        <v>0</v>
      </c>
      <c r="D718">
        <f>'PSP Data'!D721</f>
        <v>0</v>
      </c>
      <c r="E718">
        <f>'PSP Data'!E721</f>
        <v>0</v>
      </c>
      <c r="F718">
        <f>'PSP Data'!F721</f>
        <v>0</v>
      </c>
      <c r="G718">
        <f>'PSP Data'!G721</f>
        <v>0</v>
      </c>
      <c r="H718">
        <f>'PSP Data'!H721</f>
        <v>0</v>
      </c>
      <c r="I718">
        <f>'PSP Data'!I721</f>
        <v>0</v>
      </c>
      <c r="J718" s="29" t="e">
        <f t="shared" si="50"/>
        <v>#N/A</v>
      </c>
      <c r="K718" s="29" t="e">
        <f>IF(AND((A718&lt;'PSP Data'!$C$11),(A718&lt;&gt;0)),Analysis!C718,#N/A)</f>
        <v>#N/A</v>
      </c>
      <c r="L718" t="e">
        <f>IF(VLOOKUP(B718,Table1[],4)=0,"unknown", VLOOKUP(B718,Table1[],4))</f>
        <v>#N/A</v>
      </c>
      <c r="M718">
        <v>1</v>
      </c>
      <c r="N718" t="e">
        <f t="shared" si="51"/>
        <v>#N/A</v>
      </c>
      <c r="O718" t="str">
        <f t="shared" si="52"/>
        <v/>
      </c>
      <c r="P718" t="str">
        <f t="shared" si="53"/>
        <v/>
      </c>
      <c r="Q718" t="str">
        <f t="shared" si="54"/>
        <v/>
      </c>
      <c r="R718">
        <v>1</v>
      </c>
    </row>
    <row r="719" spans="1:18">
      <c r="A719">
        <f>'PSP Data'!A722</f>
        <v>0</v>
      </c>
      <c r="B719" t="str">
        <f>IF('PSP Data'!B722=0,"",'PSP Data'!B722)</f>
        <v/>
      </c>
      <c r="C719">
        <f>'PSP Data'!C722</f>
        <v>0</v>
      </c>
      <c r="D719">
        <f>'PSP Data'!D722</f>
        <v>0</v>
      </c>
      <c r="E719">
        <f>'PSP Data'!E722</f>
        <v>0</v>
      </c>
      <c r="F719">
        <f>'PSP Data'!F722</f>
        <v>0</v>
      </c>
      <c r="G719">
        <f>'PSP Data'!G722</f>
        <v>0</v>
      </c>
      <c r="H719">
        <f>'PSP Data'!H722</f>
        <v>0</v>
      </c>
      <c r="I719">
        <f>'PSP Data'!I722</f>
        <v>0</v>
      </c>
      <c r="J719" s="29" t="e">
        <f t="shared" si="50"/>
        <v>#N/A</v>
      </c>
      <c r="K719" s="29" t="e">
        <f>IF(AND((A719&lt;'PSP Data'!$C$11),(A719&lt;&gt;0)),Analysis!C719,#N/A)</f>
        <v>#N/A</v>
      </c>
      <c r="L719" t="e">
        <f>IF(VLOOKUP(B719,Table1[],4)=0,"unknown", VLOOKUP(B719,Table1[],4))</f>
        <v>#N/A</v>
      </c>
      <c r="M719">
        <v>1</v>
      </c>
      <c r="N719" t="e">
        <f t="shared" si="51"/>
        <v>#N/A</v>
      </c>
      <c r="O719" t="str">
        <f t="shared" si="52"/>
        <v/>
      </c>
      <c r="P719" t="str">
        <f t="shared" si="53"/>
        <v/>
      </c>
      <c r="Q719" t="str">
        <f t="shared" si="54"/>
        <v/>
      </c>
      <c r="R719">
        <v>1</v>
      </c>
    </row>
    <row r="720" spans="1:18">
      <c r="A720">
        <f>'PSP Data'!A723</f>
        <v>0</v>
      </c>
      <c r="B720" t="str">
        <f>IF('PSP Data'!B723=0,"",'PSP Data'!B723)</f>
        <v/>
      </c>
      <c r="C720">
        <f>'PSP Data'!C723</f>
        <v>0</v>
      </c>
      <c r="D720">
        <f>'PSP Data'!D723</f>
        <v>0</v>
      </c>
      <c r="E720">
        <f>'PSP Data'!E723</f>
        <v>0</v>
      </c>
      <c r="F720">
        <f>'PSP Data'!F723</f>
        <v>0</v>
      </c>
      <c r="G720">
        <f>'PSP Data'!G723</f>
        <v>0</v>
      </c>
      <c r="H720">
        <f>'PSP Data'!H723</f>
        <v>0</v>
      </c>
      <c r="I720">
        <f>'PSP Data'!I723</f>
        <v>0</v>
      </c>
      <c r="J720" s="29" t="e">
        <f t="shared" si="50"/>
        <v>#N/A</v>
      </c>
      <c r="K720" s="29" t="e">
        <f>IF(AND((A720&lt;'PSP Data'!$C$11),(A720&lt;&gt;0)),Analysis!C720,#N/A)</f>
        <v>#N/A</v>
      </c>
      <c r="L720" t="e">
        <f>IF(VLOOKUP(B720,Table1[],4)=0,"unknown", VLOOKUP(B720,Table1[],4))</f>
        <v>#N/A</v>
      </c>
      <c r="M720">
        <v>1</v>
      </c>
      <c r="N720" t="e">
        <f t="shared" si="51"/>
        <v>#N/A</v>
      </c>
      <c r="O720" t="str">
        <f t="shared" si="52"/>
        <v/>
      </c>
      <c r="P720" t="str">
        <f t="shared" si="53"/>
        <v/>
      </c>
      <c r="Q720" t="str">
        <f t="shared" si="54"/>
        <v/>
      </c>
      <c r="R720">
        <v>1</v>
      </c>
    </row>
    <row r="721" spans="1:18">
      <c r="A721">
        <f>'PSP Data'!A724</f>
        <v>0</v>
      </c>
      <c r="B721" t="str">
        <f>IF('PSP Data'!B724=0,"",'PSP Data'!B724)</f>
        <v/>
      </c>
      <c r="C721">
        <f>'PSP Data'!C724</f>
        <v>0</v>
      </c>
      <c r="D721">
        <f>'PSP Data'!D724</f>
        <v>0</v>
      </c>
      <c r="E721">
        <f>'PSP Data'!E724</f>
        <v>0</v>
      </c>
      <c r="F721">
        <f>'PSP Data'!F724</f>
        <v>0</v>
      </c>
      <c r="G721">
        <f>'PSP Data'!G724</f>
        <v>0</v>
      </c>
      <c r="H721">
        <f>'PSP Data'!H724</f>
        <v>0</v>
      </c>
      <c r="I721">
        <f>'PSP Data'!I724</f>
        <v>0</v>
      </c>
      <c r="J721" s="29" t="e">
        <f t="shared" si="50"/>
        <v>#N/A</v>
      </c>
      <c r="K721" s="29" t="e">
        <f>IF(AND((A721&lt;'PSP Data'!$C$11),(A721&lt;&gt;0)),Analysis!C721,#N/A)</f>
        <v>#N/A</v>
      </c>
      <c r="L721" t="e">
        <f>IF(VLOOKUP(B721,Table1[],4)=0,"unknown", VLOOKUP(B721,Table1[],4))</f>
        <v>#N/A</v>
      </c>
      <c r="M721">
        <v>1</v>
      </c>
      <c r="N721" t="e">
        <f t="shared" si="51"/>
        <v>#N/A</v>
      </c>
      <c r="O721" t="str">
        <f t="shared" si="52"/>
        <v/>
      </c>
      <c r="P721" t="str">
        <f t="shared" si="53"/>
        <v/>
      </c>
      <c r="Q721" t="str">
        <f t="shared" si="54"/>
        <v/>
      </c>
      <c r="R721">
        <v>1</v>
      </c>
    </row>
    <row r="722" spans="1:18">
      <c r="A722">
        <f>'PSP Data'!A725</f>
        <v>0</v>
      </c>
      <c r="B722" t="str">
        <f>IF('PSP Data'!B725=0,"",'PSP Data'!B725)</f>
        <v/>
      </c>
      <c r="C722">
        <f>'PSP Data'!C725</f>
        <v>0</v>
      </c>
      <c r="D722">
        <f>'PSP Data'!D725</f>
        <v>0</v>
      </c>
      <c r="E722">
        <f>'PSP Data'!E725</f>
        <v>0</v>
      </c>
      <c r="F722">
        <f>'PSP Data'!F725</f>
        <v>0</v>
      </c>
      <c r="G722">
        <f>'PSP Data'!G725</f>
        <v>0</v>
      </c>
      <c r="H722">
        <f>'PSP Data'!H725</f>
        <v>0</v>
      </c>
      <c r="I722">
        <f>'PSP Data'!I725</f>
        <v>0</v>
      </c>
      <c r="J722" s="29" t="e">
        <f t="shared" si="50"/>
        <v>#N/A</v>
      </c>
      <c r="K722" s="29" t="e">
        <f>IF(AND((A722&lt;'PSP Data'!$C$11),(A722&lt;&gt;0)),Analysis!C722,#N/A)</f>
        <v>#N/A</v>
      </c>
      <c r="L722" t="e">
        <f>IF(VLOOKUP(B722,Table1[],4)=0,"unknown", VLOOKUP(B722,Table1[],4))</f>
        <v>#N/A</v>
      </c>
      <c r="M722">
        <v>1</v>
      </c>
      <c r="N722" t="e">
        <f t="shared" si="51"/>
        <v>#N/A</v>
      </c>
      <c r="O722" t="str">
        <f t="shared" si="52"/>
        <v/>
      </c>
      <c r="P722" t="str">
        <f t="shared" si="53"/>
        <v/>
      </c>
      <c r="Q722" t="str">
        <f t="shared" si="54"/>
        <v/>
      </c>
      <c r="R722">
        <v>1</v>
      </c>
    </row>
    <row r="723" spans="1:18">
      <c r="A723">
        <f>'PSP Data'!A726</f>
        <v>0</v>
      </c>
      <c r="B723" t="str">
        <f>IF('PSP Data'!B726=0,"",'PSP Data'!B726)</f>
        <v/>
      </c>
      <c r="C723">
        <f>'PSP Data'!C726</f>
        <v>0</v>
      </c>
      <c r="D723">
        <f>'PSP Data'!D726</f>
        <v>0</v>
      </c>
      <c r="E723">
        <f>'PSP Data'!E726</f>
        <v>0</v>
      </c>
      <c r="F723">
        <f>'PSP Data'!F726</f>
        <v>0</v>
      </c>
      <c r="G723">
        <f>'PSP Data'!G726</f>
        <v>0</v>
      </c>
      <c r="H723">
        <f>'PSP Data'!H726</f>
        <v>0</v>
      </c>
      <c r="I723">
        <f>'PSP Data'!I726</f>
        <v>0</v>
      </c>
      <c r="J723" s="29" t="e">
        <f t="shared" si="50"/>
        <v>#N/A</v>
      </c>
      <c r="K723" s="29" t="e">
        <f>IF(AND((A723&lt;'PSP Data'!$C$11),(A723&lt;&gt;0)),Analysis!C723,#N/A)</f>
        <v>#N/A</v>
      </c>
      <c r="L723" t="e">
        <f>IF(VLOOKUP(B723,Table1[],4)=0,"unknown", VLOOKUP(B723,Table1[],4))</f>
        <v>#N/A</v>
      </c>
      <c r="M723">
        <v>1</v>
      </c>
      <c r="N723" t="e">
        <f t="shared" si="51"/>
        <v>#N/A</v>
      </c>
      <c r="O723" t="str">
        <f t="shared" si="52"/>
        <v/>
      </c>
      <c r="P723" t="str">
        <f t="shared" si="53"/>
        <v/>
      </c>
      <c r="Q723" t="str">
        <f t="shared" si="54"/>
        <v/>
      </c>
      <c r="R723">
        <v>1</v>
      </c>
    </row>
    <row r="724" spans="1:18">
      <c r="A724">
        <f>'PSP Data'!A727</f>
        <v>0</v>
      </c>
      <c r="B724" t="str">
        <f>IF('PSP Data'!B727=0,"",'PSP Data'!B727)</f>
        <v/>
      </c>
      <c r="C724">
        <f>'PSP Data'!C727</f>
        <v>0</v>
      </c>
      <c r="D724">
        <f>'PSP Data'!D727</f>
        <v>0</v>
      </c>
      <c r="E724">
        <f>'PSP Data'!E727</f>
        <v>0</v>
      </c>
      <c r="F724">
        <f>'PSP Data'!F727</f>
        <v>0</v>
      </c>
      <c r="G724">
        <f>'PSP Data'!G727</f>
        <v>0</v>
      </c>
      <c r="H724">
        <f>'PSP Data'!H727</f>
        <v>0</v>
      </c>
      <c r="I724">
        <f>'PSP Data'!I727</f>
        <v>0</v>
      </c>
      <c r="J724" s="29" t="e">
        <f t="shared" si="50"/>
        <v>#N/A</v>
      </c>
      <c r="K724" s="29" t="e">
        <f>IF(AND((A724&lt;'PSP Data'!$C$11),(A724&lt;&gt;0)),Analysis!C724,#N/A)</f>
        <v>#N/A</v>
      </c>
      <c r="L724" t="e">
        <f>IF(VLOOKUP(B724,Table1[],4)=0,"unknown", VLOOKUP(B724,Table1[],4))</f>
        <v>#N/A</v>
      </c>
      <c r="M724">
        <v>1</v>
      </c>
      <c r="N724" t="e">
        <f t="shared" si="51"/>
        <v>#N/A</v>
      </c>
      <c r="O724" t="str">
        <f t="shared" si="52"/>
        <v/>
      </c>
      <c r="P724" t="str">
        <f t="shared" si="53"/>
        <v/>
      </c>
      <c r="Q724" t="str">
        <f t="shared" si="54"/>
        <v/>
      </c>
      <c r="R724">
        <v>1</v>
      </c>
    </row>
    <row r="725" spans="1:18">
      <c r="A725">
        <f>'PSP Data'!A728</f>
        <v>0</v>
      </c>
      <c r="B725" t="str">
        <f>IF('PSP Data'!B728=0,"",'PSP Data'!B728)</f>
        <v/>
      </c>
      <c r="C725">
        <f>'PSP Data'!C728</f>
        <v>0</v>
      </c>
      <c r="D725">
        <f>'PSP Data'!D728</f>
        <v>0</v>
      </c>
      <c r="E725">
        <f>'PSP Data'!E728</f>
        <v>0</v>
      </c>
      <c r="F725">
        <f>'PSP Data'!F728</f>
        <v>0</v>
      </c>
      <c r="G725">
        <f>'PSP Data'!G728</f>
        <v>0</v>
      </c>
      <c r="H725">
        <f>'PSP Data'!H728</f>
        <v>0</v>
      </c>
      <c r="I725">
        <f>'PSP Data'!I728</f>
        <v>0</v>
      </c>
      <c r="J725" s="29" t="e">
        <f t="shared" si="50"/>
        <v>#N/A</v>
      </c>
      <c r="K725" s="29" t="e">
        <f>IF(AND((A725&lt;'PSP Data'!$C$11),(A725&lt;&gt;0)),Analysis!C725,#N/A)</f>
        <v>#N/A</v>
      </c>
      <c r="L725" t="e">
        <f>IF(VLOOKUP(B725,Table1[],4)=0,"unknown", VLOOKUP(B725,Table1[],4))</f>
        <v>#N/A</v>
      </c>
      <c r="M725">
        <v>1</v>
      </c>
      <c r="N725" t="e">
        <f t="shared" si="51"/>
        <v>#N/A</v>
      </c>
      <c r="O725" t="str">
        <f t="shared" si="52"/>
        <v/>
      </c>
      <c r="P725" t="str">
        <f t="shared" si="53"/>
        <v/>
      </c>
      <c r="Q725" t="str">
        <f t="shared" si="54"/>
        <v/>
      </c>
      <c r="R725">
        <v>1</v>
      </c>
    </row>
    <row r="726" spans="1:18">
      <c r="A726">
        <f>'PSP Data'!A729</f>
        <v>0</v>
      </c>
      <c r="B726" t="str">
        <f>IF('PSP Data'!B729=0,"",'PSP Data'!B729)</f>
        <v/>
      </c>
      <c r="C726">
        <f>'PSP Data'!C729</f>
        <v>0</v>
      </c>
      <c r="D726">
        <f>'PSP Data'!D729</f>
        <v>0</v>
      </c>
      <c r="E726">
        <f>'PSP Data'!E729</f>
        <v>0</v>
      </c>
      <c r="F726">
        <f>'PSP Data'!F729</f>
        <v>0</v>
      </c>
      <c r="G726">
        <f>'PSP Data'!G729</f>
        <v>0</v>
      </c>
      <c r="H726">
        <f>'PSP Data'!H729</f>
        <v>0</v>
      </c>
      <c r="I726">
        <f>'PSP Data'!I729</f>
        <v>0</v>
      </c>
      <c r="J726" s="29" t="e">
        <f t="shared" ref="J726:J789" si="55">IF(C726&gt;=25,C726,#N/A)</f>
        <v>#N/A</v>
      </c>
      <c r="K726" s="29" t="e">
        <f>IF(AND((A726&lt;'PSP Data'!$C$11),(A726&lt;&gt;0)),Analysis!C726,#N/A)</f>
        <v>#N/A</v>
      </c>
      <c r="L726" t="e">
        <f>IF(VLOOKUP(B726,Table1[],4)=0,"unknown", VLOOKUP(B726,Table1[],4))</f>
        <v>#N/A</v>
      </c>
      <c r="M726">
        <v>1</v>
      </c>
      <c r="N726" t="e">
        <f t="shared" ref="N726:N789" si="56">IF(L726="timber",B726,"")</f>
        <v>#N/A</v>
      </c>
      <c r="O726" t="str">
        <f t="shared" ref="O726:O789" si="57">IF(D726="y",B726,"")</f>
        <v/>
      </c>
      <c r="P726" t="str">
        <f t="shared" ref="P726:P789" si="58">IF(F726="y",B726,"")</f>
        <v/>
      </c>
      <c r="Q726" t="str">
        <f t="shared" ref="Q726:Q789" si="59">IF(B726="","",ISNUMBER(FIND("Dead wood",B726:B1605)))</f>
        <v/>
      </c>
      <c r="R726">
        <v>1</v>
      </c>
    </row>
    <row r="727" spans="1:18">
      <c r="A727">
        <f>'PSP Data'!A730</f>
        <v>0</v>
      </c>
      <c r="B727" t="str">
        <f>IF('PSP Data'!B730=0,"",'PSP Data'!B730)</f>
        <v/>
      </c>
      <c r="C727">
        <f>'PSP Data'!C730</f>
        <v>0</v>
      </c>
      <c r="D727">
        <f>'PSP Data'!D730</f>
        <v>0</v>
      </c>
      <c r="E727">
        <f>'PSP Data'!E730</f>
        <v>0</v>
      </c>
      <c r="F727">
        <f>'PSP Data'!F730</f>
        <v>0</v>
      </c>
      <c r="G727">
        <f>'PSP Data'!G730</f>
        <v>0</v>
      </c>
      <c r="H727">
        <f>'PSP Data'!H730</f>
        <v>0</v>
      </c>
      <c r="I727">
        <f>'PSP Data'!I730</f>
        <v>0</v>
      </c>
      <c r="J727" s="29" t="e">
        <f t="shared" si="55"/>
        <v>#N/A</v>
      </c>
      <c r="K727" s="29" t="e">
        <f>IF(AND((A727&lt;'PSP Data'!$C$11),(A727&lt;&gt;0)),Analysis!C727,#N/A)</f>
        <v>#N/A</v>
      </c>
      <c r="L727" t="e">
        <f>IF(VLOOKUP(B727,Table1[],4)=0,"unknown", VLOOKUP(B727,Table1[],4))</f>
        <v>#N/A</v>
      </c>
      <c r="M727">
        <v>1</v>
      </c>
      <c r="N727" t="e">
        <f t="shared" si="56"/>
        <v>#N/A</v>
      </c>
      <c r="O727" t="str">
        <f t="shared" si="57"/>
        <v/>
      </c>
      <c r="P727" t="str">
        <f t="shared" si="58"/>
        <v/>
      </c>
      <c r="Q727" t="str">
        <f t="shared" si="59"/>
        <v/>
      </c>
      <c r="R727">
        <v>1</v>
      </c>
    </row>
    <row r="728" spans="1:18">
      <c r="A728">
        <f>'PSP Data'!A731</f>
        <v>0</v>
      </c>
      <c r="B728" t="str">
        <f>IF('PSP Data'!B731=0,"",'PSP Data'!B731)</f>
        <v/>
      </c>
      <c r="C728">
        <f>'PSP Data'!C731</f>
        <v>0</v>
      </c>
      <c r="D728">
        <f>'PSP Data'!D731</f>
        <v>0</v>
      </c>
      <c r="E728">
        <f>'PSP Data'!E731</f>
        <v>0</v>
      </c>
      <c r="F728">
        <f>'PSP Data'!F731</f>
        <v>0</v>
      </c>
      <c r="G728">
        <f>'PSP Data'!G731</f>
        <v>0</v>
      </c>
      <c r="H728">
        <f>'PSP Data'!H731</f>
        <v>0</v>
      </c>
      <c r="I728">
        <f>'PSP Data'!I731</f>
        <v>0</v>
      </c>
      <c r="J728" s="29" t="e">
        <f t="shared" si="55"/>
        <v>#N/A</v>
      </c>
      <c r="K728" s="29" t="e">
        <f>IF(AND((A728&lt;'PSP Data'!$C$11),(A728&lt;&gt;0)),Analysis!C728,#N/A)</f>
        <v>#N/A</v>
      </c>
      <c r="L728" t="e">
        <f>IF(VLOOKUP(B728,Table1[],4)=0,"unknown", VLOOKUP(B728,Table1[],4))</f>
        <v>#N/A</v>
      </c>
      <c r="M728">
        <v>1</v>
      </c>
      <c r="N728" t="e">
        <f t="shared" si="56"/>
        <v>#N/A</v>
      </c>
      <c r="O728" t="str">
        <f t="shared" si="57"/>
        <v/>
      </c>
      <c r="P728" t="str">
        <f t="shared" si="58"/>
        <v/>
      </c>
      <c r="Q728" t="str">
        <f t="shared" si="59"/>
        <v/>
      </c>
      <c r="R728">
        <v>1</v>
      </c>
    </row>
    <row r="729" spans="1:18">
      <c r="A729">
        <f>'PSP Data'!A732</f>
        <v>0</v>
      </c>
      <c r="B729" t="str">
        <f>IF('PSP Data'!B732=0,"",'PSP Data'!B732)</f>
        <v/>
      </c>
      <c r="C729">
        <f>'PSP Data'!C732</f>
        <v>0</v>
      </c>
      <c r="D729">
        <f>'PSP Data'!D732</f>
        <v>0</v>
      </c>
      <c r="E729">
        <f>'PSP Data'!E732</f>
        <v>0</v>
      </c>
      <c r="F729">
        <f>'PSP Data'!F732</f>
        <v>0</v>
      </c>
      <c r="G729">
        <f>'PSP Data'!G732</f>
        <v>0</v>
      </c>
      <c r="H729">
        <f>'PSP Data'!H732</f>
        <v>0</v>
      </c>
      <c r="I729">
        <f>'PSP Data'!I732</f>
        <v>0</v>
      </c>
      <c r="J729" s="29" t="e">
        <f t="shared" si="55"/>
        <v>#N/A</v>
      </c>
      <c r="K729" s="29" t="e">
        <f>IF(AND((A729&lt;'PSP Data'!$C$11),(A729&lt;&gt;0)),Analysis!C729,#N/A)</f>
        <v>#N/A</v>
      </c>
      <c r="L729" t="e">
        <f>IF(VLOOKUP(B729,Table1[],4)=0,"unknown", VLOOKUP(B729,Table1[],4))</f>
        <v>#N/A</v>
      </c>
      <c r="M729">
        <v>1</v>
      </c>
      <c r="N729" t="e">
        <f t="shared" si="56"/>
        <v>#N/A</v>
      </c>
      <c r="O729" t="str">
        <f t="shared" si="57"/>
        <v/>
      </c>
      <c r="P729" t="str">
        <f t="shared" si="58"/>
        <v/>
      </c>
      <c r="Q729" t="str">
        <f t="shared" si="59"/>
        <v/>
      </c>
      <c r="R729">
        <v>1</v>
      </c>
    </row>
    <row r="730" spans="1:18">
      <c r="A730">
        <f>'PSP Data'!A733</f>
        <v>0</v>
      </c>
      <c r="B730" t="str">
        <f>IF('PSP Data'!B733=0,"",'PSP Data'!B733)</f>
        <v/>
      </c>
      <c r="C730">
        <f>'PSP Data'!C733</f>
        <v>0</v>
      </c>
      <c r="D730">
        <f>'PSP Data'!D733</f>
        <v>0</v>
      </c>
      <c r="E730">
        <f>'PSP Data'!E733</f>
        <v>0</v>
      </c>
      <c r="F730">
        <f>'PSP Data'!F733</f>
        <v>0</v>
      </c>
      <c r="G730">
        <f>'PSP Data'!G733</f>
        <v>0</v>
      </c>
      <c r="H730">
        <f>'PSP Data'!H733</f>
        <v>0</v>
      </c>
      <c r="I730">
        <f>'PSP Data'!I733</f>
        <v>0</v>
      </c>
      <c r="J730" s="29" t="e">
        <f t="shared" si="55"/>
        <v>#N/A</v>
      </c>
      <c r="K730" s="29" t="e">
        <f>IF(AND((A730&lt;'PSP Data'!$C$11),(A730&lt;&gt;0)),Analysis!C730,#N/A)</f>
        <v>#N/A</v>
      </c>
      <c r="L730" t="e">
        <f>IF(VLOOKUP(B730,Table1[],4)=0,"unknown", VLOOKUP(B730,Table1[],4))</f>
        <v>#N/A</v>
      </c>
      <c r="M730">
        <v>1</v>
      </c>
      <c r="N730" t="e">
        <f t="shared" si="56"/>
        <v>#N/A</v>
      </c>
      <c r="O730" t="str">
        <f t="shared" si="57"/>
        <v/>
      </c>
      <c r="P730" t="str">
        <f t="shared" si="58"/>
        <v/>
      </c>
      <c r="Q730" t="str">
        <f t="shared" si="59"/>
        <v/>
      </c>
      <c r="R730">
        <v>1</v>
      </c>
    </row>
    <row r="731" spans="1:18">
      <c r="A731">
        <f>'PSP Data'!A734</f>
        <v>0</v>
      </c>
      <c r="B731" t="str">
        <f>IF('PSP Data'!B734=0,"",'PSP Data'!B734)</f>
        <v/>
      </c>
      <c r="C731">
        <f>'PSP Data'!C734</f>
        <v>0</v>
      </c>
      <c r="D731">
        <f>'PSP Data'!D734</f>
        <v>0</v>
      </c>
      <c r="E731">
        <f>'PSP Data'!E734</f>
        <v>0</v>
      </c>
      <c r="F731">
        <f>'PSP Data'!F734</f>
        <v>0</v>
      </c>
      <c r="G731">
        <f>'PSP Data'!G734</f>
        <v>0</v>
      </c>
      <c r="H731">
        <f>'PSP Data'!H734</f>
        <v>0</v>
      </c>
      <c r="I731">
        <f>'PSP Data'!I734</f>
        <v>0</v>
      </c>
      <c r="J731" s="29" t="e">
        <f t="shared" si="55"/>
        <v>#N/A</v>
      </c>
      <c r="K731" s="29" t="e">
        <f>IF(AND((A731&lt;'PSP Data'!$C$11),(A731&lt;&gt;0)),Analysis!C731,#N/A)</f>
        <v>#N/A</v>
      </c>
      <c r="L731" t="e">
        <f>IF(VLOOKUP(B731,Table1[],4)=0,"unknown", VLOOKUP(B731,Table1[],4))</f>
        <v>#N/A</v>
      </c>
      <c r="M731">
        <v>1</v>
      </c>
      <c r="N731" t="e">
        <f t="shared" si="56"/>
        <v>#N/A</v>
      </c>
      <c r="O731" t="str">
        <f t="shared" si="57"/>
        <v/>
      </c>
      <c r="P731" t="str">
        <f t="shared" si="58"/>
        <v/>
      </c>
      <c r="Q731" t="str">
        <f t="shared" si="59"/>
        <v/>
      </c>
      <c r="R731">
        <v>1</v>
      </c>
    </row>
    <row r="732" spans="1:18">
      <c r="A732">
        <f>'PSP Data'!A735</f>
        <v>0</v>
      </c>
      <c r="B732" t="str">
        <f>IF('PSP Data'!B735=0,"",'PSP Data'!B735)</f>
        <v/>
      </c>
      <c r="C732">
        <f>'PSP Data'!C735</f>
        <v>0</v>
      </c>
      <c r="D732">
        <f>'PSP Data'!D735</f>
        <v>0</v>
      </c>
      <c r="E732">
        <f>'PSP Data'!E735</f>
        <v>0</v>
      </c>
      <c r="F732">
        <f>'PSP Data'!F735</f>
        <v>0</v>
      </c>
      <c r="G732">
        <f>'PSP Data'!G735</f>
        <v>0</v>
      </c>
      <c r="H732">
        <f>'PSP Data'!H735</f>
        <v>0</v>
      </c>
      <c r="I732">
        <f>'PSP Data'!I735</f>
        <v>0</v>
      </c>
      <c r="J732" s="29" t="e">
        <f t="shared" si="55"/>
        <v>#N/A</v>
      </c>
      <c r="K732" s="29" t="e">
        <f>IF(AND((A732&lt;'PSP Data'!$C$11),(A732&lt;&gt;0)),Analysis!C732,#N/A)</f>
        <v>#N/A</v>
      </c>
      <c r="L732" t="e">
        <f>IF(VLOOKUP(B732,Table1[],4)=0,"unknown", VLOOKUP(B732,Table1[],4))</f>
        <v>#N/A</v>
      </c>
      <c r="M732">
        <v>1</v>
      </c>
      <c r="N732" t="e">
        <f t="shared" si="56"/>
        <v>#N/A</v>
      </c>
      <c r="O732" t="str">
        <f t="shared" si="57"/>
        <v/>
      </c>
      <c r="P732" t="str">
        <f t="shared" si="58"/>
        <v/>
      </c>
      <c r="Q732" t="str">
        <f t="shared" si="59"/>
        <v/>
      </c>
      <c r="R732">
        <v>1</v>
      </c>
    </row>
    <row r="733" spans="1:18">
      <c r="A733">
        <f>'PSP Data'!A736</f>
        <v>0</v>
      </c>
      <c r="B733" t="str">
        <f>IF('PSP Data'!B736=0,"",'PSP Data'!B736)</f>
        <v/>
      </c>
      <c r="C733">
        <f>'PSP Data'!C736</f>
        <v>0</v>
      </c>
      <c r="D733">
        <f>'PSP Data'!D736</f>
        <v>0</v>
      </c>
      <c r="E733">
        <f>'PSP Data'!E736</f>
        <v>0</v>
      </c>
      <c r="F733">
        <f>'PSP Data'!F736</f>
        <v>0</v>
      </c>
      <c r="G733">
        <f>'PSP Data'!G736</f>
        <v>0</v>
      </c>
      <c r="H733">
        <f>'PSP Data'!H736</f>
        <v>0</v>
      </c>
      <c r="I733">
        <f>'PSP Data'!I736</f>
        <v>0</v>
      </c>
      <c r="J733" s="29" t="e">
        <f t="shared" si="55"/>
        <v>#N/A</v>
      </c>
      <c r="K733" s="29" t="e">
        <f>IF(AND((A733&lt;'PSP Data'!$C$11),(A733&lt;&gt;0)),Analysis!C733,#N/A)</f>
        <v>#N/A</v>
      </c>
      <c r="L733" t="e">
        <f>IF(VLOOKUP(B733,Table1[],4)=0,"unknown", VLOOKUP(B733,Table1[],4))</f>
        <v>#N/A</v>
      </c>
      <c r="M733">
        <v>1</v>
      </c>
      <c r="N733" t="e">
        <f t="shared" si="56"/>
        <v>#N/A</v>
      </c>
      <c r="O733" t="str">
        <f t="shared" si="57"/>
        <v/>
      </c>
      <c r="P733" t="str">
        <f t="shared" si="58"/>
        <v/>
      </c>
      <c r="Q733" t="str">
        <f t="shared" si="59"/>
        <v/>
      </c>
      <c r="R733">
        <v>1</v>
      </c>
    </row>
    <row r="734" spans="1:18">
      <c r="A734">
        <f>'PSP Data'!A737</f>
        <v>0</v>
      </c>
      <c r="B734" t="str">
        <f>IF('PSP Data'!B737=0,"",'PSP Data'!B737)</f>
        <v/>
      </c>
      <c r="C734">
        <f>'PSP Data'!C737</f>
        <v>0</v>
      </c>
      <c r="D734">
        <f>'PSP Data'!D737</f>
        <v>0</v>
      </c>
      <c r="E734">
        <f>'PSP Data'!E737</f>
        <v>0</v>
      </c>
      <c r="F734">
        <f>'PSP Data'!F737</f>
        <v>0</v>
      </c>
      <c r="G734">
        <f>'PSP Data'!G737</f>
        <v>0</v>
      </c>
      <c r="H734">
        <f>'PSP Data'!H737</f>
        <v>0</v>
      </c>
      <c r="I734">
        <f>'PSP Data'!I737</f>
        <v>0</v>
      </c>
      <c r="J734" s="29" t="e">
        <f t="shared" si="55"/>
        <v>#N/A</v>
      </c>
      <c r="K734" s="29" t="e">
        <f>IF(AND((A734&lt;'PSP Data'!$C$11),(A734&lt;&gt;0)),Analysis!C734,#N/A)</f>
        <v>#N/A</v>
      </c>
      <c r="L734" t="e">
        <f>IF(VLOOKUP(B734,Table1[],4)=0,"unknown", VLOOKUP(B734,Table1[],4))</f>
        <v>#N/A</v>
      </c>
      <c r="M734">
        <v>1</v>
      </c>
      <c r="N734" t="e">
        <f t="shared" si="56"/>
        <v>#N/A</v>
      </c>
      <c r="O734" t="str">
        <f t="shared" si="57"/>
        <v/>
      </c>
      <c r="P734" t="str">
        <f t="shared" si="58"/>
        <v/>
      </c>
      <c r="Q734" t="str">
        <f t="shared" si="59"/>
        <v/>
      </c>
      <c r="R734">
        <v>1</v>
      </c>
    </row>
    <row r="735" spans="1:18">
      <c r="A735">
        <f>'PSP Data'!A738</f>
        <v>0</v>
      </c>
      <c r="B735" t="str">
        <f>IF('PSP Data'!B738=0,"",'PSP Data'!B738)</f>
        <v/>
      </c>
      <c r="C735">
        <f>'PSP Data'!C738</f>
        <v>0</v>
      </c>
      <c r="D735">
        <f>'PSP Data'!D738</f>
        <v>0</v>
      </c>
      <c r="E735">
        <f>'PSP Data'!E738</f>
        <v>0</v>
      </c>
      <c r="F735">
        <f>'PSP Data'!F738</f>
        <v>0</v>
      </c>
      <c r="G735">
        <f>'PSP Data'!G738</f>
        <v>0</v>
      </c>
      <c r="H735">
        <f>'PSP Data'!H738</f>
        <v>0</v>
      </c>
      <c r="I735">
        <f>'PSP Data'!I738</f>
        <v>0</v>
      </c>
      <c r="J735" s="29" t="e">
        <f t="shared" si="55"/>
        <v>#N/A</v>
      </c>
      <c r="K735" s="29" t="e">
        <f>IF(AND((A735&lt;'PSP Data'!$C$11),(A735&lt;&gt;0)),Analysis!C735,#N/A)</f>
        <v>#N/A</v>
      </c>
      <c r="L735" t="e">
        <f>IF(VLOOKUP(B735,Table1[],4)=0,"unknown", VLOOKUP(B735,Table1[],4))</f>
        <v>#N/A</v>
      </c>
      <c r="M735">
        <v>1</v>
      </c>
      <c r="N735" t="e">
        <f t="shared" si="56"/>
        <v>#N/A</v>
      </c>
      <c r="O735" t="str">
        <f t="shared" si="57"/>
        <v/>
      </c>
      <c r="P735" t="str">
        <f t="shared" si="58"/>
        <v/>
      </c>
      <c r="Q735" t="str">
        <f t="shared" si="59"/>
        <v/>
      </c>
      <c r="R735">
        <v>1</v>
      </c>
    </row>
    <row r="736" spans="1:18">
      <c r="A736">
        <f>'PSP Data'!A739</f>
        <v>0</v>
      </c>
      <c r="B736" t="str">
        <f>IF('PSP Data'!B739=0,"",'PSP Data'!B739)</f>
        <v/>
      </c>
      <c r="C736">
        <f>'PSP Data'!C739</f>
        <v>0</v>
      </c>
      <c r="D736">
        <f>'PSP Data'!D739</f>
        <v>0</v>
      </c>
      <c r="E736">
        <f>'PSP Data'!E739</f>
        <v>0</v>
      </c>
      <c r="F736">
        <f>'PSP Data'!F739</f>
        <v>0</v>
      </c>
      <c r="G736">
        <f>'PSP Data'!G739</f>
        <v>0</v>
      </c>
      <c r="H736">
        <f>'PSP Data'!H739</f>
        <v>0</v>
      </c>
      <c r="I736">
        <f>'PSP Data'!I739</f>
        <v>0</v>
      </c>
      <c r="J736" s="29" t="e">
        <f t="shared" si="55"/>
        <v>#N/A</v>
      </c>
      <c r="K736" s="29" t="e">
        <f>IF(AND((A736&lt;'PSP Data'!$C$11),(A736&lt;&gt;0)),Analysis!C736,#N/A)</f>
        <v>#N/A</v>
      </c>
      <c r="L736" t="e">
        <f>IF(VLOOKUP(B736,Table1[],4)=0,"unknown", VLOOKUP(B736,Table1[],4))</f>
        <v>#N/A</v>
      </c>
      <c r="M736">
        <v>1</v>
      </c>
      <c r="N736" t="e">
        <f t="shared" si="56"/>
        <v>#N/A</v>
      </c>
      <c r="O736" t="str">
        <f t="shared" si="57"/>
        <v/>
      </c>
      <c r="P736" t="str">
        <f t="shared" si="58"/>
        <v/>
      </c>
      <c r="Q736" t="str">
        <f t="shared" si="59"/>
        <v/>
      </c>
      <c r="R736">
        <v>1</v>
      </c>
    </row>
    <row r="737" spans="1:18">
      <c r="A737">
        <f>'PSP Data'!A740</f>
        <v>0</v>
      </c>
      <c r="B737" t="str">
        <f>IF('PSP Data'!B740=0,"",'PSP Data'!B740)</f>
        <v/>
      </c>
      <c r="C737">
        <f>'PSP Data'!C740</f>
        <v>0</v>
      </c>
      <c r="D737">
        <f>'PSP Data'!D740</f>
        <v>0</v>
      </c>
      <c r="E737">
        <f>'PSP Data'!E740</f>
        <v>0</v>
      </c>
      <c r="F737">
        <f>'PSP Data'!F740</f>
        <v>0</v>
      </c>
      <c r="G737">
        <f>'PSP Data'!G740</f>
        <v>0</v>
      </c>
      <c r="H737">
        <f>'PSP Data'!H740</f>
        <v>0</v>
      </c>
      <c r="I737">
        <f>'PSP Data'!I740</f>
        <v>0</v>
      </c>
      <c r="J737" s="29" t="e">
        <f t="shared" si="55"/>
        <v>#N/A</v>
      </c>
      <c r="K737" s="29" t="e">
        <f>IF(AND((A737&lt;'PSP Data'!$C$11),(A737&lt;&gt;0)),Analysis!C737,#N/A)</f>
        <v>#N/A</v>
      </c>
      <c r="L737" t="e">
        <f>IF(VLOOKUP(B737,Table1[],4)=0,"unknown", VLOOKUP(B737,Table1[],4))</f>
        <v>#N/A</v>
      </c>
      <c r="M737">
        <v>1</v>
      </c>
      <c r="N737" t="e">
        <f t="shared" si="56"/>
        <v>#N/A</v>
      </c>
      <c r="O737" t="str">
        <f t="shared" si="57"/>
        <v/>
      </c>
      <c r="P737" t="str">
        <f t="shared" si="58"/>
        <v/>
      </c>
      <c r="Q737" t="str">
        <f t="shared" si="59"/>
        <v/>
      </c>
      <c r="R737">
        <v>1</v>
      </c>
    </row>
    <row r="738" spans="1:18">
      <c r="A738">
        <f>'PSP Data'!A741</f>
        <v>0</v>
      </c>
      <c r="B738" t="str">
        <f>IF('PSP Data'!B741=0,"",'PSP Data'!B741)</f>
        <v/>
      </c>
      <c r="C738">
        <f>'PSP Data'!C741</f>
        <v>0</v>
      </c>
      <c r="D738">
        <f>'PSP Data'!D741</f>
        <v>0</v>
      </c>
      <c r="E738">
        <f>'PSP Data'!E741</f>
        <v>0</v>
      </c>
      <c r="F738">
        <f>'PSP Data'!F741</f>
        <v>0</v>
      </c>
      <c r="G738">
        <f>'PSP Data'!G741</f>
        <v>0</v>
      </c>
      <c r="H738">
        <f>'PSP Data'!H741</f>
        <v>0</v>
      </c>
      <c r="I738">
        <f>'PSP Data'!I741</f>
        <v>0</v>
      </c>
      <c r="J738" s="29" t="e">
        <f t="shared" si="55"/>
        <v>#N/A</v>
      </c>
      <c r="K738" s="29" t="e">
        <f>IF(AND((A738&lt;'PSP Data'!$C$11),(A738&lt;&gt;0)),Analysis!C738,#N/A)</f>
        <v>#N/A</v>
      </c>
      <c r="L738" t="e">
        <f>IF(VLOOKUP(B738,Table1[],4)=0,"unknown", VLOOKUP(B738,Table1[],4))</f>
        <v>#N/A</v>
      </c>
      <c r="M738">
        <v>1</v>
      </c>
      <c r="N738" t="e">
        <f t="shared" si="56"/>
        <v>#N/A</v>
      </c>
      <c r="O738" t="str">
        <f t="shared" si="57"/>
        <v/>
      </c>
      <c r="P738" t="str">
        <f t="shared" si="58"/>
        <v/>
      </c>
      <c r="Q738" t="str">
        <f t="shared" si="59"/>
        <v/>
      </c>
      <c r="R738">
        <v>1</v>
      </c>
    </row>
    <row r="739" spans="1:18">
      <c r="A739">
        <f>'PSP Data'!A742</f>
        <v>0</v>
      </c>
      <c r="B739" t="str">
        <f>IF('PSP Data'!B742=0,"",'PSP Data'!B742)</f>
        <v/>
      </c>
      <c r="C739">
        <f>'PSP Data'!C742</f>
        <v>0</v>
      </c>
      <c r="D739">
        <f>'PSP Data'!D742</f>
        <v>0</v>
      </c>
      <c r="E739">
        <f>'PSP Data'!E742</f>
        <v>0</v>
      </c>
      <c r="F739">
        <f>'PSP Data'!F742</f>
        <v>0</v>
      </c>
      <c r="G739">
        <f>'PSP Data'!G742</f>
        <v>0</v>
      </c>
      <c r="H739">
        <f>'PSP Data'!H742</f>
        <v>0</v>
      </c>
      <c r="I739">
        <f>'PSP Data'!I742</f>
        <v>0</v>
      </c>
      <c r="J739" s="29" t="e">
        <f t="shared" si="55"/>
        <v>#N/A</v>
      </c>
      <c r="K739" s="29" t="e">
        <f>IF(AND((A739&lt;'PSP Data'!$C$11),(A739&lt;&gt;0)),Analysis!C739,#N/A)</f>
        <v>#N/A</v>
      </c>
      <c r="L739" t="e">
        <f>IF(VLOOKUP(B739,Table1[],4)=0,"unknown", VLOOKUP(B739,Table1[],4))</f>
        <v>#N/A</v>
      </c>
      <c r="M739">
        <v>1</v>
      </c>
      <c r="N739" t="e">
        <f t="shared" si="56"/>
        <v>#N/A</v>
      </c>
      <c r="O739" t="str">
        <f t="shared" si="57"/>
        <v/>
      </c>
      <c r="P739" t="str">
        <f t="shared" si="58"/>
        <v/>
      </c>
      <c r="Q739" t="str">
        <f t="shared" si="59"/>
        <v/>
      </c>
      <c r="R739">
        <v>1</v>
      </c>
    </row>
    <row r="740" spans="1:18">
      <c r="A740">
        <f>'PSP Data'!A743</f>
        <v>0</v>
      </c>
      <c r="B740" t="str">
        <f>IF('PSP Data'!B743=0,"",'PSP Data'!B743)</f>
        <v/>
      </c>
      <c r="C740">
        <f>'PSP Data'!C743</f>
        <v>0</v>
      </c>
      <c r="D740">
        <f>'PSP Data'!D743</f>
        <v>0</v>
      </c>
      <c r="E740">
        <f>'PSP Data'!E743</f>
        <v>0</v>
      </c>
      <c r="F740">
        <f>'PSP Data'!F743</f>
        <v>0</v>
      </c>
      <c r="G740">
        <f>'PSP Data'!G743</f>
        <v>0</v>
      </c>
      <c r="H740">
        <f>'PSP Data'!H743</f>
        <v>0</v>
      </c>
      <c r="I740">
        <f>'PSP Data'!I743</f>
        <v>0</v>
      </c>
      <c r="J740" s="29" t="e">
        <f t="shared" si="55"/>
        <v>#N/A</v>
      </c>
      <c r="K740" s="29" t="e">
        <f>IF(AND((A740&lt;'PSP Data'!$C$11),(A740&lt;&gt;0)),Analysis!C740,#N/A)</f>
        <v>#N/A</v>
      </c>
      <c r="L740" t="e">
        <f>IF(VLOOKUP(B740,Table1[],4)=0,"unknown", VLOOKUP(B740,Table1[],4))</f>
        <v>#N/A</v>
      </c>
      <c r="M740">
        <v>1</v>
      </c>
      <c r="N740" t="e">
        <f t="shared" si="56"/>
        <v>#N/A</v>
      </c>
      <c r="O740" t="str">
        <f t="shared" si="57"/>
        <v/>
      </c>
      <c r="P740" t="str">
        <f t="shared" si="58"/>
        <v/>
      </c>
      <c r="Q740" t="str">
        <f t="shared" si="59"/>
        <v/>
      </c>
      <c r="R740">
        <v>1</v>
      </c>
    </row>
    <row r="741" spans="1:18">
      <c r="A741">
        <f>'PSP Data'!A744</f>
        <v>0</v>
      </c>
      <c r="B741" t="str">
        <f>IF('PSP Data'!B744=0,"",'PSP Data'!B744)</f>
        <v/>
      </c>
      <c r="C741">
        <f>'PSP Data'!C744</f>
        <v>0</v>
      </c>
      <c r="D741">
        <f>'PSP Data'!D744</f>
        <v>0</v>
      </c>
      <c r="E741">
        <f>'PSP Data'!E744</f>
        <v>0</v>
      </c>
      <c r="F741">
        <f>'PSP Data'!F744</f>
        <v>0</v>
      </c>
      <c r="G741">
        <f>'PSP Data'!G744</f>
        <v>0</v>
      </c>
      <c r="H741">
        <f>'PSP Data'!H744</f>
        <v>0</v>
      </c>
      <c r="I741">
        <f>'PSP Data'!I744</f>
        <v>0</v>
      </c>
      <c r="J741" s="29" t="e">
        <f t="shared" si="55"/>
        <v>#N/A</v>
      </c>
      <c r="K741" s="29" t="e">
        <f>IF(AND((A741&lt;'PSP Data'!$C$11),(A741&lt;&gt;0)),Analysis!C741,#N/A)</f>
        <v>#N/A</v>
      </c>
      <c r="L741" t="e">
        <f>IF(VLOOKUP(B741,Table1[],4)=0,"unknown", VLOOKUP(B741,Table1[],4))</f>
        <v>#N/A</v>
      </c>
      <c r="M741">
        <v>1</v>
      </c>
      <c r="N741" t="e">
        <f t="shared" si="56"/>
        <v>#N/A</v>
      </c>
      <c r="O741" t="str">
        <f t="shared" si="57"/>
        <v/>
      </c>
      <c r="P741" t="str">
        <f t="shared" si="58"/>
        <v/>
      </c>
      <c r="Q741" t="str">
        <f t="shared" si="59"/>
        <v/>
      </c>
      <c r="R741">
        <v>1</v>
      </c>
    </row>
    <row r="742" spans="1:18">
      <c r="A742">
        <f>'PSP Data'!A745</f>
        <v>0</v>
      </c>
      <c r="B742" t="str">
        <f>IF('PSP Data'!B745=0,"",'PSP Data'!B745)</f>
        <v/>
      </c>
      <c r="C742">
        <f>'PSP Data'!C745</f>
        <v>0</v>
      </c>
      <c r="D742">
        <f>'PSP Data'!D745</f>
        <v>0</v>
      </c>
      <c r="E742">
        <f>'PSP Data'!E745</f>
        <v>0</v>
      </c>
      <c r="F742">
        <f>'PSP Data'!F745</f>
        <v>0</v>
      </c>
      <c r="G742">
        <f>'PSP Data'!G745</f>
        <v>0</v>
      </c>
      <c r="H742">
        <f>'PSP Data'!H745</f>
        <v>0</v>
      </c>
      <c r="I742">
        <f>'PSP Data'!I745</f>
        <v>0</v>
      </c>
      <c r="J742" s="29" t="e">
        <f t="shared" si="55"/>
        <v>#N/A</v>
      </c>
      <c r="K742" s="29" t="e">
        <f>IF(AND((A742&lt;'PSP Data'!$C$11),(A742&lt;&gt;0)),Analysis!C742,#N/A)</f>
        <v>#N/A</v>
      </c>
      <c r="L742" t="e">
        <f>IF(VLOOKUP(B742,Table1[],4)=0,"unknown", VLOOKUP(B742,Table1[],4))</f>
        <v>#N/A</v>
      </c>
      <c r="M742">
        <v>1</v>
      </c>
      <c r="N742" t="e">
        <f t="shared" si="56"/>
        <v>#N/A</v>
      </c>
      <c r="O742" t="str">
        <f t="shared" si="57"/>
        <v/>
      </c>
      <c r="P742" t="str">
        <f t="shared" si="58"/>
        <v/>
      </c>
      <c r="Q742" t="str">
        <f t="shared" si="59"/>
        <v/>
      </c>
      <c r="R742">
        <v>1</v>
      </c>
    </row>
    <row r="743" spans="1:18">
      <c r="A743">
        <f>'PSP Data'!A746</f>
        <v>0</v>
      </c>
      <c r="B743" t="str">
        <f>IF('PSP Data'!B746=0,"",'PSP Data'!B746)</f>
        <v/>
      </c>
      <c r="C743">
        <f>'PSP Data'!C746</f>
        <v>0</v>
      </c>
      <c r="D743">
        <f>'PSP Data'!D746</f>
        <v>0</v>
      </c>
      <c r="E743">
        <f>'PSP Data'!E746</f>
        <v>0</v>
      </c>
      <c r="F743">
        <f>'PSP Data'!F746</f>
        <v>0</v>
      </c>
      <c r="G743">
        <f>'PSP Data'!G746</f>
        <v>0</v>
      </c>
      <c r="H743">
        <f>'PSP Data'!H746</f>
        <v>0</v>
      </c>
      <c r="I743">
        <f>'PSP Data'!I746</f>
        <v>0</v>
      </c>
      <c r="J743" s="29" t="e">
        <f t="shared" si="55"/>
        <v>#N/A</v>
      </c>
      <c r="K743" s="29" t="e">
        <f>IF(AND((A743&lt;'PSP Data'!$C$11),(A743&lt;&gt;0)),Analysis!C743,#N/A)</f>
        <v>#N/A</v>
      </c>
      <c r="L743" t="e">
        <f>IF(VLOOKUP(B743,Table1[],4)=0,"unknown", VLOOKUP(B743,Table1[],4))</f>
        <v>#N/A</v>
      </c>
      <c r="M743">
        <v>1</v>
      </c>
      <c r="N743" t="e">
        <f t="shared" si="56"/>
        <v>#N/A</v>
      </c>
      <c r="O743" t="str">
        <f t="shared" si="57"/>
        <v/>
      </c>
      <c r="P743" t="str">
        <f t="shared" si="58"/>
        <v/>
      </c>
      <c r="Q743" t="str">
        <f t="shared" si="59"/>
        <v/>
      </c>
      <c r="R743">
        <v>1</v>
      </c>
    </row>
    <row r="744" spans="1:18">
      <c r="A744">
        <f>'PSP Data'!A747</f>
        <v>0</v>
      </c>
      <c r="B744" t="str">
        <f>IF('PSP Data'!B747=0,"",'PSP Data'!B747)</f>
        <v/>
      </c>
      <c r="C744">
        <f>'PSP Data'!C747</f>
        <v>0</v>
      </c>
      <c r="D744">
        <f>'PSP Data'!D747</f>
        <v>0</v>
      </c>
      <c r="E744">
        <f>'PSP Data'!E747</f>
        <v>0</v>
      </c>
      <c r="F744">
        <f>'PSP Data'!F747</f>
        <v>0</v>
      </c>
      <c r="G744">
        <f>'PSP Data'!G747</f>
        <v>0</v>
      </c>
      <c r="H744">
        <f>'PSP Data'!H747</f>
        <v>0</v>
      </c>
      <c r="I744">
        <f>'PSP Data'!I747</f>
        <v>0</v>
      </c>
      <c r="J744" s="29" t="e">
        <f t="shared" si="55"/>
        <v>#N/A</v>
      </c>
      <c r="K744" s="29" t="e">
        <f>IF(AND((A744&lt;'PSP Data'!$C$11),(A744&lt;&gt;0)),Analysis!C744,#N/A)</f>
        <v>#N/A</v>
      </c>
      <c r="L744" t="e">
        <f>IF(VLOOKUP(B744,Table1[],4)=0,"unknown", VLOOKUP(B744,Table1[],4))</f>
        <v>#N/A</v>
      </c>
      <c r="M744">
        <v>1</v>
      </c>
      <c r="N744" t="e">
        <f t="shared" si="56"/>
        <v>#N/A</v>
      </c>
      <c r="O744" t="str">
        <f t="shared" si="57"/>
        <v/>
      </c>
      <c r="P744" t="str">
        <f t="shared" si="58"/>
        <v/>
      </c>
      <c r="Q744" t="str">
        <f t="shared" si="59"/>
        <v/>
      </c>
      <c r="R744">
        <v>1</v>
      </c>
    </row>
    <row r="745" spans="1:18">
      <c r="A745">
        <f>'PSP Data'!A748</f>
        <v>0</v>
      </c>
      <c r="B745" t="str">
        <f>IF('PSP Data'!B748=0,"",'PSP Data'!B748)</f>
        <v/>
      </c>
      <c r="C745">
        <f>'PSP Data'!C748</f>
        <v>0</v>
      </c>
      <c r="D745">
        <f>'PSP Data'!D748</f>
        <v>0</v>
      </c>
      <c r="E745">
        <f>'PSP Data'!E748</f>
        <v>0</v>
      </c>
      <c r="F745">
        <f>'PSP Data'!F748</f>
        <v>0</v>
      </c>
      <c r="G745">
        <f>'PSP Data'!G748</f>
        <v>0</v>
      </c>
      <c r="H745">
        <f>'PSP Data'!H748</f>
        <v>0</v>
      </c>
      <c r="I745">
        <f>'PSP Data'!I748</f>
        <v>0</v>
      </c>
      <c r="J745" s="29" t="e">
        <f t="shared" si="55"/>
        <v>#N/A</v>
      </c>
      <c r="K745" s="29" t="e">
        <f>IF(AND((A745&lt;'PSP Data'!$C$11),(A745&lt;&gt;0)),Analysis!C745,#N/A)</f>
        <v>#N/A</v>
      </c>
      <c r="L745" t="e">
        <f>IF(VLOOKUP(B745,Table1[],4)=0,"unknown", VLOOKUP(B745,Table1[],4))</f>
        <v>#N/A</v>
      </c>
      <c r="M745">
        <v>1</v>
      </c>
      <c r="N745" t="e">
        <f t="shared" si="56"/>
        <v>#N/A</v>
      </c>
      <c r="O745" t="str">
        <f t="shared" si="57"/>
        <v/>
      </c>
      <c r="P745" t="str">
        <f t="shared" si="58"/>
        <v/>
      </c>
      <c r="Q745" t="str">
        <f t="shared" si="59"/>
        <v/>
      </c>
      <c r="R745">
        <v>1</v>
      </c>
    </row>
    <row r="746" spans="1:18">
      <c r="A746">
        <f>'PSP Data'!A749</f>
        <v>0</v>
      </c>
      <c r="B746" t="str">
        <f>IF('PSP Data'!B749=0,"",'PSP Data'!B749)</f>
        <v/>
      </c>
      <c r="C746">
        <f>'PSP Data'!C749</f>
        <v>0</v>
      </c>
      <c r="D746">
        <f>'PSP Data'!D749</f>
        <v>0</v>
      </c>
      <c r="E746">
        <f>'PSP Data'!E749</f>
        <v>0</v>
      </c>
      <c r="F746">
        <f>'PSP Data'!F749</f>
        <v>0</v>
      </c>
      <c r="G746">
        <f>'PSP Data'!G749</f>
        <v>0</v>
      </c>
      <c r="H746">
        <f>'PSP Data'!H749</f>
        <v>0</v>
      </c>
      <c r="I746">
        <f>'PSP Data'!I749</f>
        <v>0</v>
      </c>
      <c r="J746" s="29" t="e">
        <f t="shared" si="55"/>
        <v>#N/A</v>
      </c>
      <c r="K746" s="29" t="e">
        <f>IF(AND((A746&lt;'PSP Data'!$C$11),(A746&lt;&gt;0)),Analysis!C746,#N/A)</f>
        <v>#N/A</v>
      </c>
      <c r="L746" t="e">
        <f>IF(VLOOKUP(B746,Table1[],4)=0,"unknown", VLOOKUP(B746,Table1[],4))</f>
        <v>#N/A</v>
      </c>
      <c r="M746">
        <v>1</v>
      </c>
      <c r="N746" t="e">
        <f t="shared" si="56"/>
        <v>#N/A</v>
      </c>
      <c r="O746" t="str">
        <f t="shared" si="57"/>
        <v/>
      </c>
      <c r="P746" t="str">
        <f t="shared" si="58"/>
        <v/>
      </c>
      <c r="Q746" t="str">
        <f t="shared" si="59"/>
        <v/>
      </c>
      <c r="R746">
        <v>1</v>
      </c>
    </row>
    <row r="747" spans="1:18">
      <c r="A747">
        <f>'PSP Data'!A750</f>
        <v>0</v>
      </c>
      <c r="B747" t="str">
        <f>IF('PSP Data'!B750=0,"",'PSP Data'!B750)</f>
        <v/>
      </c>
      <c r="C747">
        <f>'PSP Data'!C750</f>
        <v>0</v>
      </c>
      <c r="D747">
        <f>'PSP Data'!D750</f>
        <v>0</v>
      </c>
      <c r="E747">
        <f>'PSP Data'!E750</f>
        <v>0</v>
      </c>
      <c r="F747">
        <f>'PSP Data'!F750</f>
        <v>0</v>
      </c>
      <c r="G747">
        <f>'PSP Data'!G750</f>
        <v>0</v>
      </c>
      <c r="H747">
        <f>'PSP Data'!H750</f>
        <v>0</v>
      </c>
      <c r="I747">
        <f>'PSP Data'!I750</f>
        <v>0</v>
      </c>
      <c r="J747" s="29" t="e">
        <f t="shared" si="55"/>
        <v>#N/A</v>
      </c>
      <c r="K747" s="29" t="e">
        <f>IF(AND((A747&lt;'PSP Data'!$C$11),(A747&lt;&gt;0)),Analysis!C747,#N/A)</f>
        <v>#N/A</v>
      </c>
      <c r="L747" t="e">
        <f>IF(VLOOKUP(B747,Table1[],4)=0,"unknown", VLOOKUP(B747,Table1[],4))</f>
        <v>#N/A</v>
      </c>
      <c r="M747">
        <v>1</v>
      </c>
      <c r="N747" t="e">
        <f t="shared" si="56"/>
        <v>#N/A</v>
      </c>
      <c r="O747" t="str">
        <f t="shared" si="57"/>
        <v/>
      </c>
      <c r="P747" t="str">
        <f t="shared" si="58"/>
        <v/>
      </c>
      <c r="Q747" t="str">
        <f t="shared" si="59"/>
        <v/>
      </c>
      <c r="R747">
        <v>1</v>
      </c>
    </row>
    <row r="748" spans="1:18">
      <c r="A748">
        <f>'PSP Data'!A751</f>
        <v>0</v>
      </c>
      <c r="B748" t="str">
        <f>IF('PSP Data'!B751=0,"",'PSP Data'!B751)</f>
        <v/>
      </c>
      <c r="C748">
        <f>'PSP Data'!C751</f>
        <v>0</v>
      </c>
      <c r="D748">
        <f>'PSP Data'!D751</f>
        <v>0</v>
      </c>
      <c r="E748">
        <f>'PSP Data'!E751</f>
        <v>0</v>
      </c>
      <c r="F748">
        <f>'PSP Data'!F751</f>
        <v>0</v>
      </c>
      <c r="G748">
        <f>'PSP Data'!G751</f>
        <v>0</v>
      </c>
      <c r="H748">
        <f>'PSP Data'!H751</f>
        <v>0</v>
      </c>
      <c r="I748">
        <f>'PSP Data'!I751</f>
        <v>0</v>
      </c>
      <c r="J748" s="29" t="e">
        <f t="shared" si="55"/>
        <v>#N/A</v>
      </c>
      <c r="K748" s="29" t="e">
        <f>IF(AND((A748&lt;'PSP Data'!$C$11),(A748&lt;&gt;0)),Analysis!C748,#N/A)</f>
        <v>#N/A</v>
      </c>
      <c r="L748" t="e">
        <f>IF(VLOOKUP(B748,Table1[],4)=0,"unknown", VLOOKUP(B748,Table1[],4))</f>
        <v>#N/A</v>
      </c>
      <c r="M748">
        <v>1</v>
      </c>
      <c r="N748" t="e">
        <f t="shared" si="56"/>
        <v>#N/A</v>
      </c>
      <c r="O748" t="str">
        <f t="shared" si="57"/>
        <v/>
      </c>
      <c r="P748" t="str">
        <f t="shared" si="58"/>
        <v/>
      </c>
      <c r="Q748" t="str">
        <f t="shared" si="59"/>
        <v/>
      </c>
      <c r="R748">
        <v>1</v>
      </c>
    </row>
    <row r="749" spans="1:18">
      <c r="A749">
        <f>'PSP Data'!A752</f>
        <v>0</v>
      </c>
      <c r="B749" t="str">
        <f>IF('PSP Data'!B752=0,"",'PSP Data'!B752)</f>
        <v/>
      </c>
      <c r="C749">
        <f>'PSP Data'!C752</f>
        <v>0</v>
      </c>
      <c r="D749">
        <f>'PSP Data'!D752</f>
        <v>0</v>
      </c>
      <c r="E749">
        <f>'PSP Data'!E752</f>
        <v>0</v>
      </c>
      <c r="F749">
        <f>'PSP Data'!F752</f>
        <v>0</v>
      </c>
      <c r="G749">
        <f>'PSP Data'!G752</f>
        <v>0</v>
      </c>
      <c r="H749">
        <f>'PSP Data'!H752</f>
        <v>0</v>
      </c>
      <c r="I749">
        <f>'PSP Data'!I752</f>
        <v>0</v>
      </c>
      <c r="J749" s="29" t="e">
        <f t="shared" si="55"/>
        <v>#N/A</v>
      </c>
      <c r="K749" s="29" t="e">
        <f>IF(AND((A749&lt;'PSP Data'!$C$11),(A749&lt;&gt;0)),Analysis!C749,#N/A)</f>
        <v>#N/A</v>
      </c>
      <c r="L749" t="e">
        <f>IF(VLOOKUP(B749,Table1[],4)=0,"unknown", VLOOKUP(B749,Table1[],4))</f>
        <v>#N/A</v>
      </c>
      <c r="M749">
        <v>1</v>
      </c>
      <c r="N749" t="e">
        <f t="shared" si="56"/>
        <v>#N/A</v>
      </c>
      <c r="O749" t="str">
        <f t="shared" si="57"/>
        <v/>
      </c>
      <c r="P749" t="str">
        <f t="shared" si="58"/>
        <v/>
      </c>
      <c r="Q749" t="str">
        <f t="shared" si="59"/>
        <v/>
      </c>
      <c r="R749">
        <v>1</v>
      </c>
    </row>
    <row r="750" spans="1:18">
      <c r="A750">
        <f>'PSP Data'!A753</f>
        <v>0</v>
      </c>
      <c r="B750" t="str">
        <f>IF('PSP Data'!B753=0,"",'PSP Data'!B753)</f>
        <v/>
      </c>
      <c r="C750">
        <f>'PSP Data'!C753</f>
        <v>0</v>
      </c>
      <c r="D750">
        <f>'PSP Data'!D753</f>
        <v>0</v>
      </c>
      <c r="E750">
        <f>'PSP Data'!E753</f>
        <v>0</v>
      </c>
      <c r="F750">
        <f>'PSP Data'!F753</f>
        <v>0</v>
      </c>
      <c r="G750">
        <f>'PSP Data'!G753</f>
        <v>0</v>
      </c>
      <c r="H750">
        <f>'PSP Data'!H753</f>
        <v>0</v>
      </c>
      <c r="I750">
        <f>'PSP Data'!I753</f>
        <v>0</v>
      </c>
      <c r="J750" s="29" t="e">
        <f t="shared" si="55"/>
        <v>#N/A</v>
      </c>
      <c r="K750" s="29" t="e">
        <f>IF(AND((A750&lt;'PSP Data'!$C$11),(A750&lt;&gt;0)),Analysis!C750,#N/A)</f>
        <v>#N/A</v>
      </c>
      <c r="L750" t="e">
        <f>IF(VLOOKUP(B750,Table1[],4)=0,"unknown", VLOOKUP(B750,Table1[],4))</f>
        <v>#N/A</v>
      </c>
      <c r="M750">
        <v>1</v>
      </c>
      <c r="N750" t="e">
        <f t="shared" si="56"/>
        <v>#N/A</v>
      </c>
      <c r="O750" t="str">
        <f t="shared" si="57"/>
        <v/>
      </c>
      <c r="P750" t="str">
        <f t="shared" si="58"/>
        <v/>
      </c>
      <c r="Q750" t="str">
        <f t="shared" si="59"/>
        <v/>
      </c>
      <c r="R750">
        <v>1</v>
      </c>
    </row>
    <row r="751" spans="1:18">
      <c r="A751">
        <f>'PSP Data'!A754</f>
        <v>0</v>
      </c>
      <c r="B751" t="str">
        <f>IF('PSP Data'!B754=0,"",'PSP Data'!B754)</f>
        <v/>
      </c>
      <c r="C751">
        <f>'PSP Data'!C754</f>
        <v>0</v>
      </c>
      <c r="D751">
        <f>'PSP Data'!D754</f>
        <v>0</v>
      </c>
      <c r="E751">
        <f>'PSP Data'!E754</f>
        <v>0</v>
      </c>
      <c r="F751">
        <f>'PSP Data'!F754</f>
        <v>0</v>
      </c>
      <c r="G751">
        <f>'PSP Data'!G754</f>
        <v>0</v>
      </c>
      <c r="H751">
        <f>'PSP Data'!H754</f>
        <v>0</v>
      </c>
      <c r="I751">
        <f>'PSP Data'!I754</f>
        <v>0</v>
      </c>
      <c r="J751" s="29" t="e">
        <f t="shared" si="55"/>
        <v>#N/A</v>
      </c>
      <c r="K751" s="29" t="e">
        <f>IF(AND((A751&lt;'PSP Data'!$C$11),(A751&lt;&gt;0)),Analysis!C751,#N/A)</f>
        <v>#N/A</v>
      </c>
      <c r="L751" t="e">
        <f>IF(VLOOKUP(B751,Table1[],4)=0,"unknown", VLOOKUP(B751,Table1[],4))</f>
        <v>#N/A</v>
      </c>
      <c r="M751">
        <v>1</v>
      </c>
      <c r="N751" t="e">
        <f t="shared" si="56"/>
        <v>#N/A</v>
      </c>
      <c r="O751" t="str">
        <f t="shared" si="57"/>
        <v/>
      </c>
      <c r="P751" t="str">
        <f t="shared" si="58"/>
        <v/>
      </c>
      <c r="Q751" t="str">
        <f t="shared" si="59"/>
        <v/>
      </c>
      <c r="R751">
        <v>1</v>
      </c>
    </row>
    <row r="752" spans="1:18">
      <c r="A752">
        <f>'PSP Data'!A755</f>
        <v>0</v>
      </c>
      <c r="B752" t="str">
        <f>IF('PSP Data'!B755=0,"",'PSP Data'!B755)</f>
        <v/>
      </c>
      <c r="C752">
        <f>'PSP Data'!C755</f>
        <v>0</v>
      </c>
      <c r="D752">
        <f>'PSP Data'!D755</f>
        <v>0</v>
      </c>
      <c r="E752">
        <f>'PSP Data'!E755</f>
        <v>0</v>
      </c>
      <c r="F752">
        <f>'PSP Data'!F755</f>
        <v>0</v>
      </c>
      <c r="G752">
        <f>'PSP Data'!G755</f>
        <v>0</v>
      </c>
      <c r="H752">
        <f>'PSP Data'!H755</f>
        <v>0</v>
      </c>
      <c r="I752">
        <f>'PSP Data'!I755</f>
        <v>0</v>
      </c>
      <c r="J752" s="29" t="e">
        <f t="shared" si="55"/>
        <v>#N/A</v>
      </c>
      <c r="K752" s="29" t="e">
        <f>IF(AND((A752&lt;'PSP Data'!$C$11),(A752&lt;&gt;0)),Analysis!C752,#N/A)</f>
        <v>#N/A</v>
      </c>
      <c r="L752" t="e">
        <f>IF(VLOOKUP(B752,Table1[],4)=0,"unknown", VLOOKUP(B752,Table1[],4))</f>
        <v>#N/A</v>
      </c>
      <c r="M752">
        <v>1</v>
      </c>
      <c r="N752" t="e">
        <f t="shared" si="56"/>
        <v>#N/A</v>
      </c>
      <c r="O752" t="str">
        <f t="shared" si="57"/>
        <v/>
      </c>
      <c r="P752" t="str">
        <f t="shared" si="58"/>
        <v/>
      </c>
      <c r="Q752" t="str">
        <f t="shared" si="59"/>
        <v/>
      </c>
      <c r="R752">
        <v>1</v>
      </c>
    </row>
    <row r="753" spans="1:18">
      <c r="A753">
        <f>'PSP Data'!A756</f>
        <v>0</v>
      </c>
      <c r="B753" t="str">
        <f>IF('PSP Data'!B756=0,"",'PSP Data'!B756)</f>
        <v/>
      </c>
      <c r="C753">
        <f>'PSP Data'!C756</f>
        <v>0</v>
      </c>
      <c r="D753">
        <f>'PSP Data'!D756</f>
        <v>0</v>
      </c>
      <c r="E753">
        <f>'PSP Data'!E756</f>
        <v>0</v>
      </c>
      <c r="F753">
        <f>'PSP Data'!F756</f>
        <v>0</v>
      </c>
      <c r="G753">
        <f>'PSP Data'!G756</f>
        <v>0</v>
      </c>
      <c r="H753">
        <f>'PSP Data'!H756</f>
        <v>0</v>
      </c>
      <c r="I753">
        <f>'PSP Data'!I756</f>
        <v>0</v>
      </c>
      <c r="J753" s="29" t="e">
        <f t="shared" si="55"/>
        <v>#N/A</v>
      </c>
      <c r="K753" s="29" t="e">
        <f>IF(AND((A753&lt;'PSP Data'!$C$11),(A753&lt;&gt;0)),Analysis!C753,#N/A)</f>
        <v>#N/A</v>
      </c>
      <c r="L753" t="e">
        <f>IF(VLOOKUP(B753,Table1[],4)=0,"unknown", VLOOKUP(B753,Table1[],4))</f>
        <v>#N/A</v>
      </c>
      <c r="M753">
        <v>1</v>
      </c>
      <c r="N753" t="e">
        <f t="shared" si="56"/>
        <v>#N/A</v>
      </c>
      <c r="O753" t="str">
        <f t="shared" si="57"/>
        <v/>
      </c>
      <c r="P753" t="str">
        <f t="shared" si="58"/>
        <v/>
      </c>
      <c r="Q753" t="str">
        <f t="shared" si="59"/>
        <v/>
      </c>
      <c r="R753">
        <v>1</v>
      </c>
    </row>
    <row r="754" spans="1:18">
      <c r="A754">
        <f>'PSP Data'!A757</f>
        <v>0</v>
      </c>
      <c r="B754" t="str">
        <f>IF('PSP Data'!B757=0,"",'PSP Data'!B757)</f>
        <v/>
      </c>
      <c r="C754">
        <f>'PSP Data'!C757</f>
        <v>0</v>
      </c>
      <c r="D754">
        <f>'PSP Data'!D757</f>
        <v>0</v>
      </c>
      <c r="E754">
        <f>'PSP Data'!E757</f>
        <v>0</v>
      </c>
      <c r="F754">
        <f>'PSP Data'!F757</f>
        <v>0</v>
      </c>
      <c r="G754">
        <f>'PSP Data'!G757</f>
        <v>0</v>
      </c>
      <c r="H754">
        <f>'PSP Data'!H757</f>
        <v>0</v>
      </c>
      <c r="I754">
        <f>'PSP Data'!I757</f>
        <v>0</v>
      </c>
      <c r="J754" s="29" t="e">
        <f t="shared" si="55"/>
        <v>#N/A</v>
      </c>
      <c r="K754" s="29" t="e">
        <f>IF(AND((A754&lt;'PSP Data'!$C$11),(A754&lt;&gt;0)),Analysis!C754,#N/A)</f>
        <v>#N/A</v>
      </c>
      <c r="L754" t="e">
        <f>IF(VLOOKUP(B754,Table1[],4)=0,"unknown", VLOOKUP(B754,Table1[],4))</f>
        <v>#N/A</v>
      </c>
      <c r="M754">
        <v>1</v>
      </c>
      <c r="N754" t="e">
        <f t="shared" si="56"/>
        <v>#N/A</v>
      </c>
      <c r="O754" t="str">
        <f t="shared" si="57"/>
        <v/>
      </c>
      <c r="P754" t="str">
        <f t="shared" si="58"/>
        <v/>
      </c>
      <c r="Q754" t="str">
        <f t="shared" si="59"/>
        <v/>
      </c>
      <c r="R754">
        <v>1</v>
      </c>
    </row>
    <row r="755" spans="1:18">
      <c r="A755">
        <f>'PSP Data'!A758</f>
        <v>0</v>
      </c>
      <c r="B755" t="str">
        <f>IF('PSP Data'!B758=0,"",'PSP Data'!B758)</f>
        <v/>
      </c>
      <c r="C755">
        <f>'PSP Data'!C758</f>
        <v>0</v>
      </c>
      <c r="D755">
        <f>'PSP Data'!D758</f>
        <v>0</v>
      </c>
      <c r="E755">
        <f>'PSP Data'!E758</f>
        <v>0</v>
      </c>
      <c r="F755">
        <f>'PSP Data'!F758</f>
        <v>0</v>
      </c>
      <c r="G755">
        <f>'PSP Data'!G758</f>
        <v>0</v>
      </c>
      <c r="H755">
        <f>'PSP Data'!H758</f>
        <v>0</v>
      </c>
      <c r="I755">
        <f>'PSP Data'!I758</f>
        <v>0</v>
      </c>
      <c r="J755" s="29" t="e">
        <f t="shared" si="55"/>
        <v>#N/A</v>
      </c>
      <c r="K755" s="29" t="e">
        <f>IF(AND((A755&lt;'PSP Data'!$C$11),(A755&lt;&gt;0)),Analysis!C755,#N/A)</f>
        <v>#N/A</v>
      </c>
      <c r="L755" t="e">
        <f>IF(VLOOKUP(B755,Table1[],4)=0,"unknown", VLOOKUP(B755,Table1[],4))</f>
        <v>#N/A</v>
      </c>
      <c r="M755">
        <v>1</v>
      </c>
      <c r="N755" t="e">
        <f t="shared" si="56"/>
        <v>#N/A</v>
      </c>
      <c r="O755" t="str">
        <f t="shared" si="57"/>
        <v/>
      </c>
      <c r="P755" t="str">
        <f t="shared" si="58"/>
        <v/>
      </c>
      <c r="Q755" t="str">
        <f t="shared" si="59"/>
        <v/>
      </c>
      <c r="R755">
        <v>1</v>
      </c>
    </row>
    <row r="756" spans="1:18">
      <c r="A756">
        <f>'PSP Data'!A759</f>
        <v>0</v>
      </c>
      <c r="B756" t="str">
        <f>IF('PSP Data'!B759=0,"",'PSP Data'!B759)</f>
        <v/>
      </c>
      <c r="C756">
        <f>'PSP Data'!C759</f>
        <v>0</v>
      </c>
      <c r="D756">
        <f>'PSP Data'!D759</f>
        <v>0</v>
      </c>
      <c r="E756">
        <f>'PSP Data'!E759</f>
        <v>0</v>
      </c>
      <c r="F756">
        <f>'PSP Data'!F759</f>
        <v>0</v>
      </c>
      <c r="G756">
        <f>'PSP Data'!G759</f>
        <v>0</v>
      </c>
      <c r="H756">
        <f>'PSP Data'!H759</f>
        <v>0</v>
      </c>
      <c r="I756">
        <f>'PSP Data'!I759</f>
        <v>0</v>
      </c>
      <c r="J756" s="29" t="e">
        <f t="shared" si="55"/>
        <v>#N/A</v>
      </c>
      <c r="K756" s="29" t="e">
        <f>IF(AND((A756&lt;'PSP Data'!$C$11),(A756&lt;&gt;0)),Analysis!C756,#N/A)</f>
        <v>#N/A</v>
      </c>
      <c r="L756" t="e">
        <f>IF(VLOOKUP(B756,Table1[],4)=0,"unknown", VLOOKUP(B756,Table1[],4))</f>
        <v>#N/A</v>
      </c>
      <c r="M756">
        <v>1</v>
      </c>
      <c r="N756" t="e">
        <f t="shared" si="56"/>
        <v>#N/A</v>
      </c>
      <c r="O756" t="str">
        <f t="shared" si="57"/>
        <v/>
      </c>
      <c r="P756" t="str">
        <f t="shared" si="58"/>
        <v/>
      </c>
      <c r="Q756" t="str">
        <f t="shared" si="59"/>
        <v/>
      </c>
      <c r="R756">
        <v>1</v>
      </c>
    </row>
    <row r="757" spans="1:18">
      <c r="A757">
        <f>'PSP Data'!A760</f>
        <v>0</v>
      </c>
      <c r="B757" t="str">
        <f>IF('PSP Data'!B760=0,"",'PSP Data'!B760)</f>
        <v/>
      </c>
      <c r="C757">
        <f>'PSP Data'!C760</f>
        <v>0</v>
      </c>
      <c r="D757">
        <f>'PSP Data'!D760</f>
        <v>0</v>
      </c>
      <c r="E757">
        <f>'PSP Data'!E760</f>
        <v>0</v>
      </c>
      <c r="F757">
        <f>'PSP Data'!F760</f>
        <v>0</v>
      </c>
      <c r="G757">
        <f>'PSP Data'!G760</f>
        <v>0</v>
      </c>
      <c r="H757">
        <f>'PSP Data'!H760</f>
        <v>0</v>
      </c>
      <c r="I757">
        <f>'PSP Data'!I760</f>
        <v>0</v>
      </c>
      <c r="J757" s="29" t="e">
        <f t="shared" si="55"/>
        <v>#N/A</v>
      </c>
      <c r="K757" s="29" t="e">
        <f>IF(AND((A757&lt;'PSP Data'!$C$11),(A757&lt;&gt;0)),Analysis!C757,#N/A)</f>
        <v>#N/A</v>
      </c>
      <c r="L757" t="e">
        <f>IF(VLOOKUP(B757,Table1[],4)=0,"unknown", VLOOKUP(B757,Table1[],4))</f>
        <v>#N/A</v>
      </c>
      <c r="M757">
        <v>1</v>
      </c>
      <c r="N757" t="e">
        <f t="shared" si="56"/>
        <v>#N/A</v>
      </c>
      <c r="O757" t="str">
        <f t="shared" si="57"/>
        <v/>
      </c>
      <c r="P757" t="str">
        <f t="shared" si="58"/>
        <v/>
      </c>
      <c r="Q757" t="str">
        <f t="shared" si="59"/>
        <v/>
      </c>
      <c r="R757">
        <v>1</v>
      </c>
    </row>
    <row r="758" spans="1:18">
      <c r="A758">
        <f>'PSP Data'!A761</f>
        <v>0</v>
      </c>
      <c r="B758" t="str">
        <f>IF('PSP Data'!B761=0,"",'PSP Data'!B761)</f>
        <v/>
      </c>
      <c r="C758">
        <f>'PSP Data'!C761</f>
        <v>0</v>
      </c>
      <c r="D758">
        <f>'PSP Data'!D761</f>
        <v>0</v>
      </c>
      <c r="E758">
        <f>'PSP Data'!E761</f>
        <v>0</v>
      </c>
      <c r="F758">
        <f>'PSP Data'!F761</f>
        <v>0</v>
      </c>
      <c r="G758">
        <f>'PSP Data'!G761</f>
        <v>0</v>
      </c>
      <c r="H758">
        <f>'PSP Data'!H761</f>
        <v>0</v>
      </c>
      <c r="I758">
        <f>'PSP Data'!I761</f>
        <v>0</v>
      </c>
      <c r="J758" s="29" t="e">
        <f t="shared" si="55"/>
        <v>#N/A</v>
      </c>
      <c r="K758" s="29" t="e">
        <f>IF(AND((A758&lt;'PSP Data'!$C$11),(A758&lt;&gt;0)),Analysis!C758,#N/A)</f>
        <v>#N/A</v>
      </c>
      <c r="L758" t="e">
        <f>IF(VLOOKUP(B758,Table1[],4)=0,"unknown", VLOOKUP(B758,Table1[],4))</f>
        <v>#N/A</v>
      </c>
      <c r="M758">
        <v>1</v>
      </c>
      <c r="N758" t="e">
        <f t="shared" si="56"/>
        <v>#N/A</v>
      </c>
      <c r="O758" t="str">
        <f t="shared" si="57"/>
        <v/>
      </c>
      <c r="P758" t="str">
        <f t="shared" si="58"/>
        <v/>
      </c>
      <c r="Q758" t="str">
        <f t="shared" si="59"/>
        <v/>
      </c>
      <c r="R758">
        <v>1</v>
      </c>
    </row>
    <row r="759" spans="1:18">
      <c r="A759">
        <f>'PSP Data'!A762</f>
        <v>0</v>
      </c>
      <c r="B759" t="str">
        <f>IF('PSP Data'!B762=0,"",'PSP Data'!B762)</f>
        <v/>
      </c>
      <c r="C759">
        <f>'PSP Data'!C762</f>
        <v>0</v>
      </c>
      <c r="D759">
        <f>'PSP Data'!D762</f>
        <v>0</v>
      </c>
      <c r="E759">
        <f>'PSP Data'!E762</f>
        <v>0</v>
      </c>
      <c r="F759">
        <f>'PSP Data'!F762</f>
        <v>0</v>
      </c>
      <c r="G759">
        <f>'PSP Data'!G762</f>
        <v>0</v>
      </c>
      <c r="H759">
        <f>'PSP Data'!H762</f>
        <v>0</v>
      </c>
      <c r="I759">
        <f>'PSP Data'!I762</f>
        <v>0</v>
      </c>
      <c r="J759" s="29" t="e">
        <f t="shared" si="55"/>
        <v>#N/A</v>
      </c>
      <c r="K759" s="29" t="e">
        <f>IF(AND((A759&lt;'PSP Data'!$C$11),(A759&lt;&gt;0)),Analysis!C759,#N/A)</f>
        <v>#N/A</v>
      </c>
      <c r="L759" t="e">
        <f>IF(VLOOKUP(B759,Table1[],4)=0,"unknown", VLOOKUP(B759,Table1[],4))</f>
        <v>#N/A</v>
      </c>
      <c r="M759">
        <v>1</v>
      </c>
      <c r="N759" t="e">
        <f t="shared" si="56"/>
        <v>#N/A</v>
      </c>
      <c r="O759" t="str">
        <f t="shared" si="57"/>
        <v/>
      </c>
      <c r="P759" t="str">
        <f t="shared" si="58"/>
        <v/>
      </c>
      <c r="Q759" t="str">
        <f t="shared" si="59"/>
        <v/>
      </c>
      <c r="R759">
        <v>1</v>
      </c>
    </row>
    <row r="760" spans="1:18">
      <c r="A760">
        <f>'PSP Data'!A763</f>
        <v>0</v>
      </c>
      <c r="B760" t="str">
        <f>IF('PSP Data'!B763=0,"",'PSP Data'!B763)</f>
        <v/>
      </c>
      <c r="C760">
        <f>'PSP Data'!C763</f>
        <v>0</v>
      </c>
      <c r="D760">
        <f>'PSP Data'!D763</f>
        <v>0</v>
      </c>
      <c r="E760">
        <f>'PSP Data'!E763</f>
        <v>0</v>
      </c>
      <c r="F760">
        <f>'PSP Data'!F763</f>
        <v>0</v>
      </c>
      <c r="G760">
        <f>'PSP Data'!G763</f>
        <v>0</v>
      </c>
      <c r="H760">
        <f>'PSP Data'!H763</f>
        <v>0</v>
      </c>
      <c r="I760">
        <f>'PSP Data'!I763</f>
        <v>0</v>
      </c>
      <c r="J760" s="29" t="e">
        <f t="shared" si="55"/>
        <v>#N/A</v>
      </c>
      <c r="K760" s="29" t="e">
        <f>IF(AND((A760&lt;'PSP Data'!$C$11),(A760&lt;&gt;0)),Analysis!C760,#N/A)</f>
        <v>#N/A</v>
      </c>
      <c r="L760" t="e">
        <f>IF(VLOOKUP(B760,Table1[],4)=0,"unknown", VLOOKUP(B760,Table1[],4))</f>
        <v>#N/A</v>
      </c>
      <c r="M760">
        <v>1</v>
      </c>
      <c r="N760" t="e">
        <f t="shared" si="56"/>
        <v>#N/A</v>
      </c>
      <c r="O760" t="str">
        <f t="shared" si="57"/>
        <v/>
      </c>
      <c r="P760" t="str">
        <f t="shared" si="58"/>
        <v/>
      </c>
      <c r="Q760" t="str">
        <f t="shared" si="59"/>
        <v/>
      </c>
      <c r="R760">
        <v>1</v>
      </c>
    </row>
    <row r="761" spans="1:18">
      <c r="A761">
        <f>'PSP Data'!A764</f>
        <v>0</v>
      </c>
      <c r="B761" t="str">
        <f>IF('PSP Data'!B764=0,"",'PSP Data'!B764)</f>
        <v/>
      </c>
      <c r="C761">
        <f>'PSP Data'!C764</f>
        <v>0</v>
      </c>
      <c r="D761">
        <f>'PSP Data'!D764</f>
        <v>0</v>
      </c>
      <c r="E761">
        <f>'PSP Data'!E764</f>
        <v>0</v>
      </c>
      <c r="F761">
        <f>'PSP Data'!F764</f>
        <v>0</v>
      </c>
      <c r="G761">
        <f>'PSP Data'!G764</f>
        <v>0</v>
      </c>
      <c r="H761">
        <f>'PSP Data'!H764</f>
        <v>0</v>
      </c>
      <c r="I761">
        <f>'PSP Data'!I764</f>
        <v>0</v>
      </c>
      <c r="J761" s="29" t="e">
        <f t="shared" si="55"/>
        <v>#N/A</v>
      </c>
      <c r="K761" s="29" t="e">
        <f>IF(AND((A761&lt;'PSP Data'!$C$11),(A761&lt;&gt;0)),Analysis!C761,#N/A)</f>
        <v>#N/A</v>
      </c>
      <c r="L761" t="e">
        <f>IF(VLOOKUP(B761,Table1[],4)=0,"unknown", VLOOKUP(B761,Table1[],4))</f>
        <v>#N/A</v>
      </c>
      <c r="M761">
        <v>1</v>
      </c>
      <c r="N761" t="e">
        <f t="shared" si="56"/>
        <v>#N/A</v>
      </c>
      <c r="O761" t="str">
        <f t="shared" si="57"/>
        <v/>
      </c>
      <c r="P761" t="str">
        <f t="shared" si="58"/>
        <v/>
      </c>
      <c r="Q761" t="str">
        <f t="shared" si="59"/>
        <v/>
      </c>
      <c r="R761">
        <v>1</v>
      </c>
    </row>
    <row r="762" spans="1:18">
      <c r="A762">
        <f>'PSP Data'!A765</f>
        <v>0</v>
      </c>
      <c r="B762" t="str">
        <f>IF('PSP Data'!B765=0,"",'PSP Data'!B765)</f>
        <v/>
      </c>
      <c r="C762">
        <f>'PSP Data'!C765</f>
        <v>0</v>
      </c>
      <c r="D762">
        <f>'PSP Data'!D765</f>
        <v>0</v>
      </c>
      <c r="E762">
        <f>'PSP Data'!E765</f>
        <v>0</v>
      </c>
      <c r="F762">
        <f>'PSP Data'!F765</f>
        <v>0</v>
      </c>
      <c r="G762">
        <f>'PSP Data'!G765</f>
        <v>0</v>
      </c>
      <c r="H762">
        <f>'PSP Data'!H765</f>
        <v>0</v>
      </c>
      <c r="I762">
        <f>'PSP Data'!I765</f>
        <v>0</v>
      </c>
      <c r="J762" s="29" t="e">
        <f t="shared" si="55"/>
        <v>#N/A</v>
      </c>
      <c r="K762" s="29" t="e">
        <f>IF(AND((A762&lt;'PSP Data'!$C$11),(A762&lt;&gt;0)),Analysis!C762,#N/A)</f>
        <v>#N/A</v>
      </c>
      <c r="L762" t="e">
        <f>IF(VLOOKUP(B762,Table1[],4)=0,"unknown", VLOOKUP(B762,Table1[],4))</f>
        <v>#N/A</v>
      </c>
      <c r="M762">
        <v>1</v>
      </c>
      <c r="N762" t="e">
        <f t="shared" si="56"/>
        <v>#N/A</v>
      </c>
      <c r="O762" t="str">
        <f t="shared" si="57"/>
        <v/>
      </c>
      <c r="P762" t="str">
        <f t="shared" si="58"/>
        <v/>
      </c>
      <c r="Q762" t="str">
        <f t="shared" si="59"/>
        <v/>
      </c>
      <c r="R762">
        <v>1</v>
      </c>
    </row>
    <row r="763" spans="1:18">
      <c r="A763">
        <f>'PSP Data'!A766</f>
        <v>0</v>
      </c>
      <c r="B763" t="str">
        <f>IF('PSP Data'!B766=0,"",'PSP Data'!B766)</f>
        <v/>
      </c>
      <c r="C763">
        <f>'PSP Data'!C766</f>
        <v>0</v>
      </c>
      <c r="D763">
        <f>'PSP Data'!D766</f>
        <v>0</v>
      </c>
      <c r="E763">
        <f>'PSP Data'!E766</f>
        <v>0</v>
      </c>
      <c r="F763">
        <f>'PSP Data'!F766</f>
        <v>0</v>
      </c>
      <c r="G763">
        <f>'PSP Data'!G766</f>
        <v>0</v>
      </c>
      <c r="H763">
        <f>'PSP Data'!H766</f>
        <v>0</v>
      </c>
      <c r="I763">
        <f>'PSP Data'!I766</f>
        <v>0</v>
      </c>
      <c r="J763" s="29" t="e">
        <f t="shared" si="55"/>
        <v>#N/A</v>
      </c>
      <c r="K763" s="29" t="e">
        <f>IF(AND((A763&lt;'PSP Data'!$C$11),(A763&lt;&gt;0)),Analysis!C763,#N/A)</f>
        <v>#N/A</v>
      </c>
      <c r="L763" t="e">
        <f>IF(VLOOKUP(B763,Table1[],4)=0,"unknown", VLOOKUP(B763,Table1[],4))</f>
        <v>#N/A</v>
      </c>
      <c r="M763">
        <v>1</v>
      </c>
      <c r="N763" t="e">
        <f t="shared" si="56"/>
        <v>#N/A</v>
      </c>
      <c r="O763" t="str">
        <f t="shared" si="57"/>
        <v/>
      </c>
      <c r="P763" t="str">
        <f t="shared" si="58"/>
        <v/>
      </c>
      <c r="Q763" t="str">
        <f t="shared" si="59"/>
        <v/>
      </c>
      <c r="R763">
        <v>1</v>
      </c>
    </row>
    <row r="764" spans="1:18">
      <c r="A764">
        <f>'PSP Data'!A767</f>
        <v>0</v>
      </c>
      <c r="B764" t="str">
        <f>IF('PSP Data'!B767=0,"",'PSP Data'!B767)</f>
        <v/>
      </c>
      <c r="C764">
        <f>'PSP Data'!C767</f>
        <v>0</v>
      </c>
      <c r="D764">
        <f>'PSP Data'!D767</f>
        <v>0</v>
      </c>
      <c r="E764">
        <f>'PSP Data'!E767</f>
        <v>0</v>
      </c>
      <c r="F764">
        <f>'PSP Data'!F767</f>
        <v>0</v>
      </c>
      <c r="G764">
        <f>'PSP Data'!G767</f>
        <v>0</v>
      </c>
      <c r="H764">
        <f>'PSP Data'!H767</f>
        <v>0</v>
      </c>
      <c r="I764">
        <f>'PSP Data'!I767</f>
        <v>0</v>
      </c>
      <c r="J764" s="29" t="e">
        <f t="shared" si="55"/>
        <v>#N/A</v>
      </c>
      <c r="K764" s="29" t="e">
        <f>IF(AND((A764&lt;'PSP Data'!$C$11),(A764&lt;&gt;0)),Analysis!C764,#N/A)</f>
        <v>#N/A</v>
      </c>
      <c r="L764" t="e">
        <f>IF(VLOOKUP(B764,Table1[],4)=0,"unknown", VLOOKUP(B764,Table1[],4))</f>
        <v>#N/A</v>
      </c>
      <c r="M764">
        <v>1</v>
      </c>
      <c r="N764" t="e">
        <f t="shared" si="56"/>
        <v>#N/A</v>
      </c>
      <c r="O764" t="str">
        <f t="shared" si="57"/>
        <v/>
      </c>
      <c r="P764" t="str">
        <f t="shared" si="58"/>
        <v/>
      </c>
      <c r="Q764" t="str">
        <f t="shared" si="59"/>
        <v/>
      </c>
      <c r="R764">
        <v>1</v>
      </c>
    </row>
    <row r="765" spans="1:18">
      <c r="A765">
        <f>'PSP Data'!A768</f>
        <v>0</v>
      </c>
      <c r="B765" t="str">
        <f>IF('PSP Data'!B768=0,"",'PSP Data'!B768)</f>
        <v/>
      </c>
      <c r="C765">
        <f>'PSP Data'!C768</f>
        <v>0</v>
      </c>
      <c r="D765">
        <f>'PSP Data'!D768</f>
        <v>0</v>
      </c>
      <c r="E765">
        <f>'PSP Data'!E768</f>
        <v>0</v>
      </c>
      <c r="F765">
        <f>'PSP Data'!F768</f>
        <v>0</v>
      </c>
      <c r="G765">
        <f>'PSP Data'!G768</f>
        <v>0</v>
      </c>
      <c r="H765">
        <f>'PSP Data'!H768</f>
        <v>0</v>
      </c>
      <c r="I765">
        <f>'PSP Data'!I768</f>
        <v>0</v>
      </c>
      <c r="J765" s="29" t="e">
        <f t="shared" si="55"/>
        <v>#N/A</v>
      </c>
      <c r="K765" s="29" t="e">
        <f>IF(AND((A765&lt;'PSP Data'!$C$11),(A765&lt;&gt;0)),Analysis!C765,#N/A)</f>
        <v>#N/A</v>
      </c>
      <c r="L765" t="e">
        <f>IF(VLOOKUP(B765,Table1[],4)=0,"unknown", VLOOKUP(B765,Table1[],4))</f>
        <v>#N/A</v>
      </c>
      <c r="M765">
        <v>1</v>
      </c>
      <c r="N765" t="e">
        <f t="shared" si="56"/>
        <v>#N/A</v>
      </c>
      <c r="O765" t="str">
        <f t="shared" si="57"/>
        <v/>
      </c>
      <c r="P765" t="str">
        <f t="shared" si="58"/>
        <v/>
      </c>
      <c r="Q765" t="str">
        <f t="shared" si="59"/>
        <v/>
      </c>
      <c r="R765">
        <v>1</v>
      </c>
    </row>
    <row r="766" spans="1:18">
      <c r="A766">
        <f>'PSP Data'!A769</f>
        <v>0</v>
      </c>
      <c r="B766" t="str">
        <f>IF('PSP Data'!B769=0,"",'PSP Data'!B769)</f>
        <v/>
      </c>
      <c r="C766">
        <f>'PSP Data'!C769</f>
        <v>0</v>
      </c>
      <c r="D766">
        <f>'PSP Data'!D769</f>
        <v>0</v>
      </c>
      <c r="E766">
        <f>'PSP Data'!E769</f>
        <v>0</v>
      </c>
      <c r="F766">
        <f>'PSP Data'!F769</f>
        <v>0</v>
      </c>
      <c r="G766">
        <f>'PSP Data'!G769</f>
        <v>0</v>
      </c>
      <c r="H766">
        <f>'PSP Data'!H769</f>
        <v>0</v>
      </c>
      <c r="I766">
        <f>'PSP Data'!I769</f>
        <v>0</v>
      </c>
      <c r="J766" s="29" t="e">
        <f t="shared" si="55"/>
        <v>#N/A</v>
      </c>
      <c r="K766" s="29" t="e">
        <f>IF(AND((A766&lt;'PSP Data'!$C$11),(A766&lt;&gt;0)),Analysis!C766,#N/A)</f>
        <v>#N/A</v>
      </c>
      <c r="L766" t="e">
        <f>IF(VLOOKUP(B766,Table1[],4)=0,"unknown", VLOOKUP(B766,Table1[],4))</f>
        <v>#N/A</v>
      </c>
      <c r="M766">
        <v>1</v>
      </c>
      <c r="N766" t="e">
        <f t="shared" si="56"/>
        <v>#N/A</v>
      </c>
      <c r="O766" t="str">
        <f t="shared" si="57"/>
        <v/>
      </c>
      <c r="P766" t="str">
        <f t="shared" si="58"/>
        <v/>
      </c>
      <c r="Q766" t="str">
        <f t="shared" si="59"/>
        <v/>
      </c>
      <c r="R766">
        <v>1</v>
      </c>
    </row>
    <row r="767" spans="1:18">
      <c r="A767">
        <f>'PSP Data'!A770</f>
        <v>0</v>
      </c>
      <c r="B767" t="str">
        <f>IF('PSP Data'!B770=0,"",'PSP Data'!B770)</f>
        <v/>
      </c>
      <c r="C767">
        <f>'PSP Data'!C770</f>
        <v>0</v>
      </c>
      <c r="D767">
        <f>'PSP Data'!D770</f>
        <v>0</v>
      </c>
      <c r="E767">
        <f>'PSP Data'!E770</f>
        <v>0</v>
      </c>
      <c r="F767">
        <f>'PSP Data'!F770</f>
        <v>0</v>
      </c>
      <c r="G767">
        <f>'PSP Data'!G770</f>
        <v>0</v>
      </c>
      <c r="H767">
        <f>'PSP Data'!H770</f>
        <v>0</v>
      </c>
      <c r="I767">
        <f>'PSP Data'!I770</f>
        <v>0</v>
      </c>
      <c r="J767" s="29" t="e">
        <f t="shared" si="55"/>
        <v>#N/A</v>
      </c>
      <c r="K767" s="29" t="e">
        <f>IF(AND((A767&lt;'PSP Data'!$C$11),(A767&lt;&gt;0)),Analysis!C767,#N/A)</f>
        <v>#N/A</v>
      </c>
      <c r="L767" t="e">
        <f>IF(VLOOKUP(B767,Table1[],4)=0,"unknown", VLOOKUP(B767,Table1[],4))</f>
        <v>#N/A</v>
      </c>
      <c r="M767">
        <v>1</v>
      </c>
      <c r="N767" t="e">
        <f t="shared" si="56"/>
        <v>#N/A</v>
      </c>
      <c r="O767" t="str">
        <f t="shared" si="57"/>
        <v/>
      </c>
      <c r="P767" t="str">
        <f t="shared" si="58"/>
        <v/>
      </c>
      <c r="Q767" t="str">
        <f t="shared" si="59"/>
        <v/>
      </c>
      <c r="R767">
        <v>1</v>
      </c>
    </row>
    <row r="768" spans="1:18">
      <c r="A768">
        <f>'PSP Data'!A771</f>
        <v>0</v>
      </c>
      <c r="B768" t="str">
        <f>IF('PSP Data'!B771=0,"",'PSP Data'!B771)</f>
        <v/>
      </c>
      <c r="C768">
        <f>'PSP Data'!C771</f>
        <v>0</v>
      </c>
      <c r="D768">
        <f>'PSP Data'!D771</f>
        <v>0</v>
      </c>
      <c r="E768">
        <f>'PSP Data'!E771</f>
        <v>0</v>
      </c>
      <c r="F768">
        <f>'PSP Data'!F771</f>
        <v>0</v>
      </c>
      <c r="G768">
        <f>'PSP Data'!G771</f>
        <v>0</v>
      </c>
      <c r="H768">
        <f>'PSP Data'!H771</f>
        <v>0</v>
      </c>
      <c r="I768">
        <f>'PSP Data'!I771</f>
        <v>0</v>
      </c>
      <c r="J768" s="29" t="e">
        <f t="shared" si="55"/>
        <v>#N/A</v>
      </c>
      <c r="K768" s="29" t="e">
        <f>IF(AND((A768&lt;'PSP Data'!$C$11),(A768&lt;&gt;0)),Analysis!C768,#N/A)</f>
        <v>#N/A</v>
      </c>
      <c r="L768" t="e">
        <f>IF(VLOOKUP(B768,Table1[],4)=0,"unknown", VLOOKUP(B768,Table1[],4))</f>
        <v>#N/A</v>
      </c>
      <c r="M768">
        <v>1</v>
      </c>
      <c r="N768" t="e">
        <f t="shared" si="56"/>
        <v>#N/A</v>
      </c>
      <c r="O768" t="str">
        <f t="shared" si="57"/>
        <v/>
      </c>
      <c r="P768" t="str">
        <f t="shared" si="58"/>
        <v/>
      </c>
      <c r="Q768" t="str">
        <f t="shared" si="59"/>
        <v/>
      </c>
      <c r="R768">
        <v>1</v>
      </c>
    </row>
    <row r="769" spans="1:18">
      <c r="A769">
        <f>'PSP Data'!A772</f>
        <v>0</v>
      </c>
      <c r="B769" t="str">
        <f>IF('PSP Data'!B772=0,"",'PSP Data'!B772)</f>
        <v/>
      </c>
      <c r="C769">
        <f>'PSP Data'!C772</f>
        <v>0</v>
      </c>
      <c r="D769">
        <f>'PSP Data'!D772</f>
        <v>0</v>
      </c>
      <c r="E769">
        <f>'PSP Data'!E772</f>
        <v>0</v>
      </c>
      <c r="F769">
        <f>'PSP Data'!F772</f>
        <v>0</v>
      </c>
      <c r="G769">
        <f>'PSP Data'!G772</f>
        <v>0</v>
      </c>
      <c r="H769">
        <f>'PSP Data'!H772</f>
        <v>0</v>
      </c>
      <c r="I769">
        <f>'PSP Data'!I772</f>
        <v>0</v>
      </c>
      <c r="J769" s="29" t="e">
        <f t="shared" si="55"/>
        <v>#N/A</v>
      </c>
      <c r="K769" s="29" t="e">
        <f>IF(AND((A769&lt;'PSP Data'!$C$11),(A769&lt;&gt;0)),Analysis!C769,#N/A)</f>
        <v>#N/A</v>
      </c>
      <c r="L769" t="e">
        <f>IF(VLOOKUP(B769,Table1[],4)=0,"unknown", VLOOKUP(B769,Table1[],4))</f>
        <v>#N/A</v>
      </c>
      <c r="M769">
        <v>1</v>
      </c>
      <c r="N769" t="e">
        <f t="shared" si="56"/>
        <v>#N/A</v>
      </c>
      <c r="O769" t="str">
        <f t="shared" si="57"/>
        <v/>
      </c>
      <c r="P769" t="str">
        <f t="shared" si="58"/>
        <v/>
      </c>
      <c r="Q769" t="str">
        <f t="shared" si="59"/>
        <v/>
      </c>
      <c r="R769">
        <v>1</v>
      </c>
    </row>
    <row r="770" spans="1:18">
      <c r="A770">
        <f>'PSP Data'!A773</f>
        <v>0</v>
      </c>
      <c r="B770" t="str">
        <f>IF('PSP Data'!B773=0,"",'PSP Data'!B773)</f>
        <v/>
      </c>
      <c r="C770">
        <f>'PSP Data'!C773</f>
        <v>0</v>
      </c>
      <c r="D770">
        <f>'PSP Data'!D773</f>
        <v>0</v>
      </c>
      <c r="E770">
        <f>'PSP Data'!E773</f>
        <v>0</v>
      </c>
      <c r="F770">
        <f>'PSP Data'!F773</f>
        <v>0</v>
      </c>
      <c r="G770">
        <f>'PSP Data'!G773</f>
        <v>0</v>
      </c>
      <c r="H770">
        <f>'PSP Data'!H773</f>
        <v>0</v>
      </c>
      <c r="I770">
        <f>'PSP Data'!I773</f>
        <v>0</v>
      </c>
      <c r="J770" s="29" t="e">
        <f t="shared" si="55"/>
        <v>#N/A</v>
      </c>
      <c r="K770" s="29" t="e">
        <f>IF(AND((A770&lt;'PSP Data'!$C$11),(A770&lt;&gt;0)),Analysis!C770,#N/A)</f>
        <v>#N/A</v>
      </c>
      <c r="L770" t="e">
        <f>IF(VLOOKUP(B770,Table1[],4)=0,"unknown", VLOOKUP(B770,Table1[],4))</f>
        <v>#N/A</v>
      </c>
      <c r="M770">
        <v>1</v>
      </c>
      <c r="N770" t="e">
        <f t="shared" si="56"/>
        <v>#N/A</v>
      </c>
      <c r="O770" t="str">
        <f t="shared" si="57"/>
        <v/>
      </c>
      <c r="P770" t="str">
        <f t="shared" si="58"/>
        <v/>
      </c>
      <c r="Q770" t="str">
        <f t="shared" si="59"/>
        <v/>
      </c>
      <c r="R770">
        <v>1</v>
      </c>
    </row>
    <row r="771" spans="1:18">
      <c r="A771">
        <f>'PSP Data'!A774</f>
        <v>0</v>
      </c>
      <c r="B771" t="str">
        <f>IF('PSP Data'!B774=0,"",'PSP Data'!B774)</f>
        <v/>
      </c>
      <c r="C771">
        <f>'PSP Data'!C774</f>
        <v>0</v>
      </c>
      <c r="D771">
        <f>'PSP Data'!D774</f>
        <v>0</v>
      </c>
      <c r="E771">
        <f>'PSP Data'!E774</f>
        <v>0</v>
      </c>
      <c r="F771">
        <f>'PSP Data'!F774</f>
        <v>0</v>
      </c>
      <c r="G771">
        <f>'PSP Data'!G774</f>
        <v>0</v>
      </c>
      <c r="H771">
        <f>'PSP Data'!H774</f>
        <v>0</v>
      </c>
      <c r="I771">
        <f>'PSP Data'!I774</f>
        <v>0</v>
      </c>
      <c r="J771" s="29" t="e">
        <f t="shared" si="55"/>
        <v>#N/A</v>
      </c>
      <c r="K771" s="29" t="e">
        <f>IF(AND((A771&lt;'PSP Data'!$C$11),(A771&lt;&gt;0)),Analysis!C771,#N/A)</f>
        <v>#N/A</v>
      </c>
      <c r="L771" t="e">
        <f>IF(VLOOKUP(B771,Table1[],4)=0,"unknown", VLOOKUP(B771,Table1[],4))</f>
        <v>#N/A</v>
      </c>
      <c r="M771">
        <v>1</v>
      </c>
      <c r="N771" t="e">
        <f t="shared" si="56"/>
        <v>#N/A</v>
      </c>
      <c r="O771" t="str">
        <f t="shared" si="57"/>
        <v/>
      </c>
      <c r="P771" t="str">
        <f t="shared" si="58"/>
        <v/>
      </c>
      <c r="Q771" t="str">
        <f t="shared" si="59"/>
        <v/>
      </c>
      <c r="R771">
        <v>1</v>
      </c>
    </row>
    <row r="772" spans="1:18">
      <c r="A772">
        <f>'PSP Data'!A775</f>
        <v>0</v>
      </c>
      <c r="B772" t="str">
        <f>IF('PSP Data'!B775=0,"",'PSP Data'!B775)</f>
        <v/>
      </c>
      <c r="C772">
        <f>'PSP Data'!C775</f>
        <v>0</v>
      </c>
      <c r="D772">
        <f>'PSP Data'!D775</f>
        <v>0</v>
      </c>
      <c r="E772">
        <f>'PSP Data'!E775</f>
        <v>0</v>
      </c>
      <c r="F772">
        <f>'PSP Data'!F775</f>
        <v>0</v>
      </c>
      <c r="G772">
        <f>'PSP Data'!G775</f>
        <v>0</v>
      </c>
      <c r="H772">
        <f>'PSP Data'!H775</f>
        <v>0</v>
      </c>
      <c r="I772">
        <f>'PSP Data'!I775</f>
        <v>0</v>
      </c>
      <c r="J772" s="29" t="e">
        <f t="shared" si="55"/>
        <v>#N/A</v>
      </c>
      <c r="K772" s="29" t="e">
        <f>IF(AND((A772&lt;'PSP Data'!$C$11),(A772&lt;&gt;0)),Analysis!C772,#N/A)</f>
        <v>#N/A</v>
      </c>
      <c r="L772" t="e">
        <f>IF(VLOOKUP(B772,Table1[],4)=0,"unknown", VLOOKUP(B772,Table1[],4))</f>
        <v>#N/A</v>
      </c>
      <c r="M772">
        <v>1</v>
      </c>
      <c r="N772" t="e">
        <f t="shared" si="56"/>
        <v>#N/A</v>
      </c>
      <c r="O772" t="str">
        <f t="shared" si="57"/>
        <v/>
      </c>
      <c r="P772" t="str">
        <f t="shared" si="58"/>
        <v/>
      </c>
      <c r="Q772" t="str">
        <f t="shared" si="59"/>
        <v/>
      </c>
      <c r="R772">
        <v>1</v>
      </c>
    </row>
    <row r="773" spans="1:18">
      <c r="A773">
        <f>'PSP Data'!A776</f>
        <v>0</v>
      </c>
      <c r="B773" t="str">
        <f>IF('PSP Data'!B776=0,"",'PSP Data'!B776)</f>
        <v/>
      </c>
      <c r="C773">
        <f>'PSP Data'!C776</f>
        <v>0</v>
      </c>
      <c r="D773">
        <f>'PSP Data'!D776</f>
        <v>0</v>
      </c>
      <c r="E773">
        <f>'PSP Data'!E776</f>
        <v>0</v>
      </c>
      <c r="F773">
        <f>'PSP Data'!F776</f>
        <v>0</v>
      </c>
      <c r="G773">
        <f>'PSP Data'!G776</f>
        <v>0</v>
      </c>
      <c r="H773">
        <f>'PSP Data'!H776</f>
        <v>0</v>
      </c>
      <c r="I773">
        <f>'PSP Data'!I776</f>
        <v>0</v>
      </c>
      <c r="J773" s="29" t="e">
        <f t="shared" si="55"/>
        <v>#N/A</v>
      </c>
      <c r="K773" s="29" t="e">
        <f>IF(AND((A773&lt;'PSP Data'!$C$11),(A773&lt;&gt;0)),Analysis!C773,#N/A)</f>
        <v>#N/A</v>
      </c>
      <c r="L773" t="e">
        <f>IF(VLOOKUP(B773,Table1[],4)=0,"unknown", VLOOKUP(B773,Table1[],4))</f>
        <v>#N/A</v>
      </c>
      <c r="M773">
        <v>1</v>
      </c>
      <c r="N773" t="e">
        <f t="shared" si="56"/>
        <v>#N/A</v>
      </c>
      <c r="O773" t="str">
        <f t="shared" si="57"/>
        <v/>
      </c>
      <c r="P773" t="str">
        <f t="shared" si="58"/>
        <v/>
      </c>
      <c r="Q773" t="str">
        <f t="shared" si="59"/>
        <v/>
      </c>
      <c r="R773">
        <v>1</v>
      </c>
    </row>
    <row r="774" spans="1:18">
      <c r="A774">
        <f>'PSP Data'!A777</f>
        <v>0</v>
      </c>
      <c r="B774" t="str">
        <f>IF('PSP Data'!B777=0,"",'PSP Data'!B777)</f>
        <v/>
      </c>
      <c r="C774">
        <f>'PSP Data'!C777</f>
        <v>0</v>
      </c>
      <c r="D774">
        <f>'PSP Data'!D777</f>
        <v>0</v>
      </c>
      <c r="E774">
        <f>'PSP Data'!E777</f>
        <v>0</v>
      </c>
      <c r="F774">
        <f>'PSP Data'!F777</f>
        <v>0</v>
      </c>
      <c r="G774">
        <f>'PSP Data'!G777</f>
        <v>0</v>
      </c>
      <c r="H774">
        <f>'PSP Data'!H777</f>
        <v>0</v>
      </c>
      <c r="I774">
        <f>'PSP Data'!I777</f>
        <v>0</v>
      </c>
      <c r="J774" s="29" t="e">
        <f t="shared" si="55"/>
        <v>#N/A</v>
      </c>
      <c r="K774" s="29" t="e">
        <f>IF(AND((A774&lt;'PSP Data'!$C$11),(A774&lt;&gt;0)),Analysis!C774,#N/A)</f>
        <v>#N/A</v>
      </c>
      <c r="L774" t="e">
        <f>IF(VLOOKUP(B774,Table1[],4)=0,"unknown", VLOOKUP(B774,Table1[],4))</f>
        <v>#N/A</v>
      </c>
      <c r="M774">
        <v>1</v>
      </c>
      <c r="N774" t="e">
        <f t="shared" si="56"/>
        <v>#N/A</v>
      </c>
      <c r="O774" t="str">
        <f t="shared" si="57"/>
        <v/>
      </c>
      <c r="P774" t="str">
        <f t="shared" si="58"/>
        <v/>
      </c>
      <c r="Q774" t="str">
        <f t="shared" si="59"/>
        <v/>
      </c>
      <c r="R774">
        <v>1</v>
      </c>
    </row>
    <row r="775" spans="1:18">
      <c r="A775">
        <f>'PSP Data'!A778</f>
        <v>0</v>
      </c>
      <c r="B775" t="str">
        <f>IF('PSP Data'!B778=0,"",'PSP Data'!B778)</f>
        <v/>
      </c>
      <c r="C775">
        <f>'PSP Data'!C778</f>
        <v>0</v>
      </c>
      <c r="D775">
        <f>'PSP Data'!D778</f>
        <v>0</v>
      </c>
      <c r="E775">
        <f>'PSP Data'!E778</f>
        <v>0</v>
      </c>
      <c r="F775">
        <f>'PSP Data'!F778</f>
        <v>0</v>
      </c>
      <c r="G775">
        <f>'PSP Data'!G778</f>
        <v>0</v>
      </c>
      <c r="H775">
        <f>'PSP Data'!H778</f>
        <v>0</v>
      </c>
      <c r="I775">
        <f>'PSP Data'!I778</f>
        <v>0</v>
      </c>
      <c r="J775" s="29" t="e">
        <f t="shared" si="55"/>
        <v>#N/A</v>
      </c>
      <c r="K775" s="29" t="e">
        <f>IF(AND((A775&lt;'PSP Data'!$C$11),(A775&lt;&gt;0)),Analysis!C775,#N/A)</f>
        <v>#N/A</v>
      </c>
      <c r="L775" t="e">
        <f>IF(VLOOKUP(B775,Table1[],4)=0,"unknown", VLOOKUP(B775,Table1[],4))</f>
        <v>#N/A</v>
      </c>
      <c r="M775">
        <v>1</v>
      </c>
      <c r="N775" t="e">
        <f t="shared" si="56"/>
        <v>#N/A</v>
      </c>
      <c r="O775" t="str">
        <f t="shared" si="57"/>
        <v/>
      </c>
      <c r="P775" t="str">
        <f t="shared" si="58"/>
        <v/>
      </c>
      <c r="Q775" t="str">
        <f t="shared" si="59"/>
        <v/>
      </c>
      <c r="R775">
        <v>1</v>
      </c>
    </row>
    <row r="776" spans="1:18">
      <c r="A776">
        <f>'PSP Data'!A779</f>
        <v>0</v>
      </c>
      <c r="B776" t="str">
        <f>IF('PSP Data'!B779=0,"",'PSP Data'!B779)</f>
        <v/>
      </c>
      <c r="C776">
        <f>'PSP Data'!C779</f>
        <v>0</v>
      </c>
      <c r="D776">
        <f>'PSP Data'!D779</f>
        <v>0</v>
      </c>
      <c r="E776">
        <f>'PSP Data'!E779</f>
        <v>0</v>
      </c>
      <c r="F776">
        <f>'PSP Data'!F779</f>
        <v>0</v>
      </c>
      <c r="G776">
        <f>'PSP Data'!G779</f>
        <v>0</v>
      </c>
      <c r="H776">
        <f>'PSP Data'!H779</f>
        <v>0</v>
      </c>
      <c r="I776">
        <f>'PSP Data'!I779</f>
        <v>0</v>
      </c>
      <c r="J776" s="29" t="e">
        <f t="shared" si="55"/>
        <v>#N/A</v>
      </c>
      <c r="K776" s="29" t="e">
        <f>IF(AND((A776&lt;'PSP Data'!$C$11),(A776&lt;&gt;0)),Analysis!C776,#N/A)</f>
        <v>#N/A</v>
      </c>
      <c r="L776" t="e">
        <f>IF(VLOOKUP(B776,Table1[],4)=0,"unknown", VLOOKUP(B776,Table1[],4))</f>
        <v>#N/A</v>
      </c>
      <c r="M776">
        <v>1</v>
      </c>
      <c r="N776" t="e">
        <f t="shared" si="56"/>
        <v>#N/A</v>
      </c>
      <c r="O776" t="str">
        <f t="shared" si="57"/>
        <v/>
      </c>
      <c r="P776" t="str">
        <f t="shared" si="58"/>
        <v/>
      </c>
      <c r="Q776" t="str">
        <f t="shared" si="59"/>
        <v/>
      </c>
      <c r="R776">
        <v>1</v>
      </c>
    </row>
    <row r="777" spans="1:18">
      <c r="A777">
        <f>'PSP Data'!A780</f>
        <v>0</v>
      </c>
      <c r="B777" t="str">
        <f>IF('PSP Data'!B780=0,"",'PSP Data'!B780)</f>
        <v/>
      </c>
      <c r="C777">
        <f>'PSP Data'!C780</f>
        <v>0</v>
      </c>
      <c r="D777">
        <f>'PSP Data'!D780</f>
        <v>0</v>
      </c>
      <c r="E777">
        <f>'PSP Data'!E780</f>
        <v>0</v>
      </c>
      <c r="F777">
        <f>'PSP Data'!F780</f>
        <v>0</v>
      </c>
      <c r="G777">
        <f>'PSP Data'!G780</f>
        <v>0</v>
      </c>
      <c r="H777">
        <f>'PSP Data'!H780</f>
        <v>0</v>
      </c>
      <c r="I777">
        <f>'PSP Data'!I780</f>
        <v>0</v>
      </c>
      <c r="J777" s="29" t="e">
        <f t="shared" si="55"/>
        <v>#N/A</v>
      </c>
      <c r="K777" s="29" t="e">
        <f>IF(AND((A777&lt;'PSP Data'!$C$11),(A777&lt;&gt;0)),Analysis!C777,#N/A)</f>
        <v>#N/A</v>
      </c>
      <c r="L777" t="e">
        <f>IF(VLOOKUP(B777,Table1[],4)=0,"unknown", VLOOKUP(B777,Table1[],4))</f>
        <v>#N/A</v>
      </c>
      <c r="M777">
        <v>1</v>
      </c>
      <c r="N777" t="e">
        <f t="shared" si="56"/>
        <v>#N/A</v>
      </c>
      <c r="O777" t="str">
        <f t="shared" si="57"/>
        <v/>
      </c>
      <c r="P777" t="str">
        <f t="shared" si="58"/>
        <v/>
      </c>
      <c r="Q777" t="str">
        <f t="shared" si="59"/>
        <v/>
      </c>
      <c r="R777">
        <v>1</v>
      </c>
    </row>
    <row r="778" spans="1:18">
      <c r="A778">
        <f>'PSP Data'!A781</f>
        <v>0</v>
      </c>
      <c r="B778" t="str">
        <f>IF('PSP Data'!B781=0,"",'PSP Data'!B781)</f>
        <v/>
      </c>
      <c r="C778">
        <f>'PSP Data'!C781</f>
        <v>0</v>
      </c>
      <c r="D778">
        <f>'PSP Data'!D781</f>
        <v>0</v>
      </c>
      <c r="E778">
        <f>'PSP Data'!E781</f>
        <v>0</v>
      </c>
      <c r="F778">
        <f>'PSP Data'!F781</f>
        <v>0</v>
      </c>
      <c r="G778">
        <f>'PSP Data'!G781</f>
        <v>0</v>
      </c>
      <c r="H778">
        <f>'PSP Data'!H781</f>
        <v>0</v>
      </c>
      <c r="I778">
        <f>'PSP Data'!I781</f>
        <v>0</v>
      </c>
      <c r="J778" s="29" t="e">
        <f t="shared" si="55"/>
        <v>#N/A</v>
      </c>
      <c r="K778" s="29" t="e">
        <f>IF(AND((A778&lt;'PSP Data'!$C$11),(A778&lt;&gt;0)),Analysis!C778,#N/A)</f>
        <v>#N/A</v>
      </c>
      <c r="L778" t="e">
        <f>IF(VLOOKUP(B778,Table1[],4)=0,"unknown", VLOOKUP(B778,Table1[],4))</f>
        <v>#N/A</v>
      </c>
      <c r="M778">
        <v>1</v>
      </c>
      <c r="N778" t="e">
        <f t="shared" si="56"/>
        <v>#N/A</v>
      </c>
      <c r="O778" t="str">
        <f t="shared" si="57"/>
        <v/>
      </c>
      <c r="P778" t="str">
        <f t="shared" si="58"/>
        <v/>
      </c>
      <c r="Q778" t="str">
        <f t="shared" si="59"/>
        <v/>
      </c>
      <c r="R778">
        <v>1</v>
      </c>
    </row>
    <row r="779" spans="1:18">
      <c r="A779">
        <f>'PSP Data'!A782</f>
        <v>0</v>
      </c>
      <c r="B779" t="str">
        <f>IF('PSP Data'!B782=0,"",'PSP Data'!B782)</f>
        <v/>
      </c>
      <c r="C779">
        <f>'PSP Data'!C782</f>
        <v>0</v>
      </c>
      <c r="D779">
        <f>'PSP Data'!D782</f>
        <v>0</v>
      </c>
      <c r="E779">
        <f>'PSP Data'!E782</f>
        <v>0</v>
      </c>
      <c r="F779">
        <f>'PSP Data'!F782</f>
        <v>0</v>
      </c>
      <c r="G779">
        <f>'PSP Data'!G782</f>
        <v>0</v>
      </c>
      <c r="H779">
        <f>'PSP Data'!H782</f>
        <v>0</v>
      </c>
      <c r="I779">
        <f>'PSP Data'!I782</f>
        <v>0</v>
      </c>
      <c r="J779" s="29" t="e">
        <f t="shared" si="55"/>
        <v>#N/A</v>
      </c>
      <c r="K779" s="29" t="e">
        <f>IF(AND((A779&lt;'PSP Data'!$C$11),(A779&lt;&gt;0)),Analysis!C779,#N/A)</f>
        <v>#N/A</v>
      </c>
      <c r="L779" t="e">
        <f>IF(VLOOKUP(B779,Table1[],4)=0,"unknown", VLOOKUP(B779,Table1[],4))</f>
        <v>#N/A</v>
      </c>
      <c r="M779">
        <v>1</v>
      </c>
      <c r="N779" t="e">
        <f t="shared" si="56"/>
        <v>#N/A</v>
      </c>
      <c r="O779" t="str">
        <f t="shared" si="57"/>
        <v/>
      </c>
      <c r="P779" t="str">
        <f t="shared" si="58"/>
        <v/>
      </c>
      <c r="Q779" t="str">
        <f t="shared" si="59"/>
        <v/>
      </c>
      <c r="R779">
        <v>1</v>
      </c>
    </row>
    <row r="780" spans="1:18">
      <c r="A780">
        <f>'PSP Data'!A783</f>
        <v>0</v>
      </c>
      <c r="B780" t="str">
        <f>IF('PSP Data'!B783=0,"",'PSP Data'!B783)</f>
        <v/>
      </c>
      <c r="C780">
        <f>'PSP Data'!C783</f>
        <v>0</v>
      </c>
      <c r="D780">
        <f>'PSP Data'!D783</f>
        <v>0</v>
      </c>
      <c r="E780">
        <f>'PSP Data'!E783</f>
        <v>0</v>
      </c>
      <c r="F780">
        <f>'PSP Data'!F783</f>
        <v>0</v>
      </c>
      <c r="G780">
        <f>'PSP Data'!G783</f>
        <v>0</v>
      </c>
      <c r="H780">
        <f>'PSP Data'!H783</f>
        <v>0</v>
      </c>
      <c r="I780">
        <f>'PSP Data'!I783</f>
        <v>0</v>
      </c>
      <c r="J780" s="29" t="e">
        <f t="shared" si="55"/>
        <v>#N/A</v>
      </c>
      <c r="K780" s="29" t="e">
        <f>IF(AND((A780&lt;'PSP Data'!$C$11),(A780&lt;&gt;0)),Analysis!C780,#N/A)</f>
        <v>#N/A</v>
      </c>
      <c r="L780" t="e">
        <f>IF(VLOOKUP(B780,Table1[],4)=0,"unknown", VLOOKUP(B780,Table1[],4))</f>
        <v>#N/A</v>
      </c>
      <c r="M780">
        <v>1</v>
      </c>
      <c r="N780" t="e">
        <f t="shared" si="56"/>
        <v>#N/A</v>
      </c>
      <c r="O780" t="str">
        <f t="shared" si="57"/>
        <v/>
      </c>
      <c r="P780" t="str">
        <f t="shared" si="58"/>
        <v/>
      </c>
      <c r="Q780" t="str">
        <f t="shared" si="59"/>
        <v/>
      </c>
      <c r="R780">
        <v>1</v>
      </c>
    </row>
    <row r="781" spans="1:18">
      <c r="A781">
        <f>'PSP Data'!A784</f>
        <v>0</v>
      </c>
      <c r="B781" t="str">
        <f>IF('PSP Data'!B784=0,"",'PSP Data'!B784)</f>
        <v/>
      </c>
      <c r="C781">
        <f>'PSP Data'!C784</f>
        <v>0</v>
      </c>
      <c r="D781">
        <f>'PSP Data'!D784</f>
        <v>0</v>
      </c>
      <c r="E781">
        <f>'PSP Data'!E784</f>
        <v>0</v>
      </c>
      <c r="F781">
        <f>'PSP Data'!F784</f>
        <v>0</v>
      </c>
      <c r="G781">
        <f>'PSP Data'!G784</f>
        <v>0</v>
      </c>
      <c r="H781">
        <f>'PSP Data'!H784</f>
        <v>0</v>
      </c>
      <c r="I781">
        <f>'PSP Data'!I784</f>
        <v>0</v>
      </c>
      <c r="J781" s="29" t="e">
        <f t="shared" si="55"/>
        <v>#N/A</v>
      </c>
      <c r="K781" s="29" t="e">
        <f>IF(AND((A781&lt;'PSP Data'!$C$11),(A781&lt;&gt;0)),Analysis!C781,#N/A)</f>
        <v>#N/A</v>
      </c>
      <c r="L781" t="e">
        <f>IF(VLOOKUP(B781,Table1[],4)=0,"unknown", VLOOKUP(B781,Table1[],4))</f>
        <v>#N/A</v>
      </c>
      <c r="M781">
        <v>1</v>
      </c>
      <c r="N781" t="e">
        <f t="shared" si="56"/>
        <v>#N/A</v>
      </c>
      <c r="O781" t="str">
        <f t="shared" si="57"/>
        <v/>
      </c>
      <c r="P781" t="str">
        <f t="shared" si="58"/>
        <v/>
      </c>
      <c r="Q781" t="str">
        <f t="shared" si="59"/>
        <v/>
      </c>
      <c r="R781">
        <v>1</v>
      </c>
    </row>
    <row r="782" spans="1:18">
      <c r="A782">
        <f>'PSP Data'!A785</f>
        <v>0</v>
      </c>
      <c r="B782" t="str">
        <f>IF('PSP Data'!B785=0,"",'PSP Data'!B785)</f>
        <v/>
      </c>
      <c r="C782">
        <f>'PSP Data'!C785</f>
        <v>0</v>
      </c>
      <c r="D782">
        <f>'PSP Data'!D785</f>
        <v>0</v>
      </c>
      <c r="E782">
        <f>'PSP Data'!E785</f>
        <v>0</v>
      </c>
      <c r="F782">
        <f>'PSP Data'!F785</f>
        <v>0</v>
      </c>
      <c r="G782">
        <f>'PSP Data'!G785</f>
        <v>0</v>
      </c>
      <c r="H782">
        <f>'PSP Data'!H785</f>
        <v>0</v>
      </c>
      <c r="I782">
        <f>'PSP Data'!I785</f>
        <v>0</v>
      </c>
      <c r="J782" s="29" t="e">
        <f t="shared" si="55"/>
        <v>#N/A</v>
      </c>
      <c r="K782" s="29" t="e">
        <f>IF(AND((A782&lt;'PSP Data'!$C$11),(A782&lt;&gt;0)),Analysis!C782,#N/A)</f>
        <v>#N/A</v>
      </c>
      <c r="L782" t="e">
        <f>IF(VLOOKUP(B782,Table1[],4)=0,"unknown", VLOOKUP(B782,Table1[],4))</f>
        <v>#N/A</v>
      </c>
      <c r="M782">
        <v>1</v>
      </c>
      <c r="N782" t="e">
        <f t="shared" si="56"/>
        <v>#N/A</v>
      </c>
      <c r="O782" t="str">
        <f t="shared" si="57"/>
        <v/>
      </c>
      <c r="P782" t="str">
        <f t="shared" si="58"/>
        <v/>
      </c>
      <c r="Q782" t="str">
        <f t="shared" si="59"/>
        <v/>
      </c>
      <c r="R782">
        <v>1</v>
      </c>
    </row>
    <row r="783" spans="1:18">
      <c r="A783">
        <f>'PSP Data'!A786</f>
        <v>0</v>
      </c>
      <c r="B783" t="str">
        <f>IF('PSP Data'!B786=0,"",'PSP Data'!B786)</f>
        <v/>
      </c>
      <c r="C783">
        <f>'PSP Data'!C786</f>
        <v>0</v>
      </c>
      <c r="D783">
        <f>'PSP Data'!D786</f>
        <v>0</v>
      </c>
      <c r="E783">
        <f>'PSP Data'!E786</f>
        <v>0</v>
      </c>
      <c r="F783">
        <f>'PSP Data'!F786</f>
        <v>0</v>
      </c>
      <c r="G783">
        <f>'PSP Data'!G786</f>
        <v>0</v>
      </c>
      <c r="H783">
        <f>'PSP Data'!H786</f>
        <v>0</v>
      </c>
      <c r="I783">
        <f>'PSP Data'!I786</f>
        <v>0</v>
      </c>
      <c r="J783" s="29" t="e">
        <f t="shared" si="55"/>
        <v>#N/A</v>
      </c>
      <c r="K783" s="29" t="e">
        <f>IF(AND((A783&lt;'PSP Data'!$C$11),(A783&lt;&gt;0)),Analysis!C783,#N/A)</f>
        <v>#N/A</v>
      </c>
      <c r="L783" t="e">
        <f>IF(VLOOKUP(B783,Table1[],4)=0,"unknown", VLOOKUP(B783,Table1[],4))</f>
        <v>#N/A</v>
      </c>
      <c r="M783">
        <v>1</v>
      </c>
      <c r="N783" t="e">
        <f t="shared" si="56"/>
        <v>#N/A</v>
      </c>
      <c r="O783" t="str">
        <f t="shared" si="57"/>
        <v/>
      </c>
      <c r="P783" t="str">
        <f t="shared" si="58"/>
        <v/>
      </c>
      <c r="Q783" t="str">
        <f t="shared" si="59"/>
        <v/>
      </c>
      <c r="R783">
        <v>1</v>
      </c>
    </row>
    <row r="784" spans="1:18">
      <c r="A784">
        <f>'PSP Data'!A787</f>
        <v>0</v>
      </c>
      <c r="B784" t="str">
        <f>IF('PSP Data'!B787=0,"",'PSP Data'!B787)</f>
        <v/>
      </c>
      <c r="C784">
        <f>'PSP Data'!C787</f>
        <v>0</v>
      </c>
      <c r="D784">
        <f>'PSP Data'!D787</f>
        <v>0</v>
      </c>
      <c r="E784">
        <f>'PSP Data'!E787</f>
        <v>0</v>
      </c>
      <c r="F784">
        <f>'PSP Data'!F787</f>
        <v>0</v>
      </c>
      <c r="G784">
        <f>'PSP Data'!G787</f>
        <v>0</v>
      </c>
      <c r="H784">
        <f>'PSP Data'!H787</f>
        <v>0</v>
      </c>
      <c r="I784">
        <f>'PSP Data'!I787</f>
        <v>0</v>
      </c>
      <c r="J784" s="29" t="e">
        <f t="shared" si="55"/>
        <v>#N/A</v>
      </c>
      <c r="K784" s="29" t="e">
        <f>IF(AND((A784&lt;'PSP Data'!$C$11),(A784&lt;&gt;0)),Analysis!C784,#N/A)</f>
        <v>#N/A</v>
      </c>
      <c r="L784" t="e">
        <f>IF(VLOOKUP(B784,Table1[],4)=0,"unknown", VLOOKUP(B784,Table1[],4))</f>
        <v>#N/A</v>
      </c>
      <c r="M784">
        <v>1</v>
      </c>
      <c r="N784" t="e">
        <f t="shared" si="56"/>
        <v>#N/A</v>
      </c>
      <c r="O784" t="str">
        <f t="shared" si="57"/>
        <v/>
      </c>
      <c r="P784" t="str">
        <f t="shared" si="58"/>
        <v/>
      </c>
      <c r="Q784" t="str">
        <f t="shared" si="59"/>
        <v/>
      </c>
      <c r="R784">
        <v>1</v>
      </c>
    </row>
    <row r="785" spans="1:18">
      <c r="A785">
        <f>'PSP Data'!A788</f>
        <v>0</v>
      </c>
      <c r="B785" t="str">
        <f>IF('PSP Data'!B788=0,"",'PSP Data'!B788)</f>
        <v/>
      </c>
      <c r="C785">
        <f>'PSP Data'!C788</f>
        <v>0</v>
      </c>
      <c r="D785">
        <f>'PSP Data'!D788</f>
        <v>0</v>
      </c>
      <c r="E785">
        <f>'PSP Data'!E788</f>
        <v>0</v>
      </c>
      <c r="F785">
        <f>'PSP Data'!F788</f>
        <v>0</v>
      </c>
      <c r="G785">
        <f>'PSP Data'!G788</f>
        <v>0</v>
      </c>
      <c r="H785">
        <f>'PSP Data'!H788</f>
        <v>0</v>
      </c>
      <c r="I785">
        <f>'PSP Data'!I788</f>
        <v>0</v>
      </c>
      <c r="J785" s="29" t="e">
        <f t="shared" si="55"/>
        <v>#N/A</v>
      </c>
      <c r="K785" s="29" t="e">
        <f>IF(AND((A785&lt;'PSP Data'!$C$11),(A785&lt;&gt;0)),Analysis!C785,#N/A)</f>
        <v>#N/A</v>
      </c>
      <c r="L785" t="e">
        <f>IF(VLOOKUP(B785,Table1[],4)=0,"unknown", VLOOKUP(B785,Table1[],4))</f>
        <v>#N/A</v>
      </c>
      <c r="M785">
        <v>1</v>
      </c>
      <c r="N785" t="e">
        <f t="shared" si="56"/>
        <v>#N/A</v>
      </c>
      <c r="O785" t="str">
        <f t="shared" si="57"/>
        <v/>
      </c>
      <c r="P785" t="str">
        <f t="shared" si="58"/>
        <v/>
      </c>
      <c r="Q785" t="str">
        <f t="shared" si="59"/>
        <v/>
      </c>
      <c r="R785">
        <v>1</v>
      </c>
    </row>
    <row r="786" spans="1:18">
      <c r="A786">
        <f>'PSP Data'!A789</f>
        <v>0</v>
      </c>
      <c r="B786" t="str">
        <f>IF('PSP Data'!B789=0,"",'PSP Data'!B789)</f>
        <v/>
      </c>
      <c r="C786">
        <f>'PSP Data'!C789</f>
        <v>0</v>
      </c>
      <c r="D786">
        <f>'PSP Data'!D789</f>
        <v>0</v>
      </c>
      <c r="E786">
        <f>'PSP Data'!E789</f>
        <v>0</v>
      </c>
      <c r="F786">
        <f>'PSP Data'!F789</f>
        <v>0</v>
      </c>
      <c r="G786">
        <f>'PSP Data'!G789</f>
        <v>0</v>
      </c>
      <c r="H786">
        <f>'PSP Data'!H789</f>
        <v>0</v>
      </c>
      <c r="I786">
        <f>'PSP Data'!I789</f>
        <v>0</v>
      </c>
      <c r="J786" s="29" t="e">
        <f t="shared" si="55"/>
        <v>#N/A</v>
      </c>
      <c r="K786" s="29" t="e">
        <f>IF(AND((A786&lt;'PSP Data'!$C$11),(A786&lt;&gt;0)),Analysis!C786,#N/A)</f>
        <v>#N/A</v>
      </c>
      <c r="L786" t="e">
        <f>IF(VLOOKUP(B786,Table1[],4)=0,"unknown", VLOOKUP(B786,Table1[],4))</f>
        <v>#N/A</v>
      </c>
      <c r="M786">
        <v>1</v>
      </c>
      <c r="N786" t="e">
        <f t="shared" si="56"/>
        <v>#N/A</v>
      </c>
      <c r="O786" t="str">
        <f t="shared" si="57"/>
        <v/>
      </c>
      <c r="P786" t="str">
        <f t="shared" si="58"/>
        <v/>
      </c>
      <c r="Q786" t="str">
        <f t="shared" si="59"/>
        <v/>
      </c>
      <c r="R786">
        <v>1</v>
      </c>
    </row>
    <row r="787" spans="1:18">
      <c r="A787">
        <f>'PSP Data'!A790</f>
        <v>0</v>
      </c>
      <c r="B787" t="str">
        <f>IF('PSP Data'!B790=0,"",'PSP Data'!B790)</f>
        <v/>
      </c>
      <c r="C787">
        <f>'PSP Data'!C790</f>
        <v>0</v>
      </c>
      <c r="D787">
        <f>'PSP Data'!D790</f>
        <v>0</v>
      </c>
      <c r="E787">
        <f>'PSP Data'!E790</f>
        <v>0</v>
      </c>
      <c r="F787">
        <f>'PSP Data'!F790</f>
        <v>0</v>
      </c>
      <c r="G787">
        <f>'PSP Data'!G790</f>
        <v>0</v>
      </c>
      <c r="H787">
        <f>'PSP Data'!H790</f>
        <v>0</v>
      </c>
      <c r="I787">
        <f>'PSP Data'!I790</f>
        <v>0</v>
      </c>
      <c r="J787" s="29" t="e">
        <f t="shared" si="55"/>
        <v>#N/A</v>
      </c>
      <c r="K787" s="29" t="e">
        <f>IF(AND((A787&lt;'PSP Data'!$C$11),(A787&lt;&gt;0)),Analysis!C787,#N/A)</f>
        <v>#N/A</v>
      </c>
      <c r="L787" t="e">
        <f>IF(VLOOKUP(B787,Table1[],4)=0,"unknown", VLOOKUP(B787,Table1[],4))</f>
        <v>#N/A</v>
      </c>
      <c r="M787">
        <v>1</v>
      </c>
      <c r="N787" t="e">
        <f t="shared" si="56"/>
        <v>#N/A</v>
      </c>
      <c r="O787" t="str">
        <f t="shared" si="57"/>
        <v/>
      </c>
      <c r="P787" t="str">
        <f t="shared" si="58"/>
        <v/>
      </c>
      <c r="Q787" t="str">
        <f t="shared" si="59"/>
        <v/>
      </c>
      <c r="R787">
        <v>1</v>
      </c>
    </row>
    <row r="788" spans="1:18">
      <c r="A788">
        <f>'PSP Data'!A791</f>
        <v>0</v>
      </c>
      <c r="B788" t="str">
        <f>IF('PSP Data'!B791=0,"",'PSP Data'!B791)</f>
        <v/>
      </c>
      <c r="C788">
        <f>'PSP Data'!C791</f>
        <v>0</v>
      </c>
      <c r="D788">
        <f>'PSP Data'!D791</f>
        <v>0</v>
      </c>
      <c r="E788">
        <f>'PSP Data'!E791</f>
        <v>0</v>
      </c>
      <c r="F788">
        <f>'PSP Data'!F791</f>
        <v>0</v>
      </c>
      <c r="G788">
        <f>'PSP Data'!G791</f>
        <v>0</v>
      </c>
      <c r="H788">
        <f>'PSP Data'!H791</f>
        <v>0</v>
      </c>
      <c r="I788">
        <f>'PSP Data'!I791</f>
        <v>0</v>
      </c>
      <c r="J788" s="29" t="e">
        <f t="shared" si="55"/>
        <v>#N/A</v>
      </c>
      <c r="K788" s="29" t="e">
        <f>IF(AND((A788&lt;'PSP Data'!$C$11),(A788&lt;&gt;0)),Analysis!C788,#N/A)</f>
        <v>#N/A</v>
      </c>
      <c r="L788" t="e">
        <f>IF(VLOOKUP(B788,Table1[],4)=0,"unknown", VLOOKUP(B788,Table1[],4))</f>
        <v>#N/A</v>
      </c>
      <c r="M788">
        <v>1</v>
      </c>
      <c r="N788" t="e">
        <f t="shared" si="56"/>
        <v>#N/A</v>
      </c>
      <c r="O788" t="str">
        <f t="shared" si="57"/>
        <v/>
      </c>
      <c r="P788" t="str">
        <f t="shared" si="58"/>
        <v/>
      </c>
      <c r="Q788" t="str">
        <f t="shared" si="59"/>
        <v/>
      </c>
      <c r="R788">
        <v>1</v>
      </c>
    </row>
    <row r="789" spans="1:18">
      <c r="A789">
        <f>'PSP Data'!A792</f>
        <v>0</v>
      </c>
      <c r="B789" t="str">
        <f>IF('PSP Data'!B792=0,"",'PSP Data'!B792)</f>
        <v/>
      </c>
      <c r="C789">
        <f>'PSP Data'!C792</f>
        <v>0</v>
      </c>
      <c r="D789">
        <f>'PSP Data'!D792</f>
        <v>0</v>
      </c>
      <c r="E789">
        <f>'PSP Data'!E792</f>
        <v>0</v>
      </c>
      <c r="F789">
        <f>'PSP Data'!F792</f>
        <v>0</v>
      </c>
      <c r="G789">
        <f>'PSP Data'!G792</f>
        <v>0</v>
      </c>
      <c r="H789">
        <f>'PSP Data'!H792</f>
        <v>0</v>
      </c>
      <c r="I789">
        <f>'PSP Data'!I792</f>
        <v>0</v>
      </c>
      <c r="J789" s="29" t="e">
        <f t="shared" si="55"/>
        <v>#N/A</v>
      </c>
      <c r="K789" s="29" t="e">
        <f>IF(AND((A789&lt;'PSP Data'!$C$11),(A789&lt;&gt;0)),Analysis!C789,#N/A)</f>
        <v>#N/A</v>
      </c>
      <c r="L789" t="e">
        <f>IF(VLOOKUP(B789,Table1[],4)=0,"unknown", VLOOKUP(B789,Table1[],4))</f>
        <v>#N/A</v>
      </c>
      <c r="M789">
        <v>1</v>
      </c>
      <c r="N789" t="e">
        <f t="shared" si="56"/>
        <v>#N/A</v>
      </c>
      <c r="O789" t="str">
        <f t="shared" si="57"/>
        <v/>
      </c>
      <c r="P789" t="str">
        <f t="shared" si="58"/>
        <v/>
      </c>
      <c r="Q789" t="str">
        <f t="shared" si="59"/>
        <v/>
      </c>
      <c r="R789">
        <v>1</v>
      </c>
    </row>
    <row r="790" spans="1:18">
      <c r="A790">
        <f>'PSP Data'!A793</f>
        <v>0</v>
      </c>
      <c r="B790" t="str">
        <f>IF('PSP Data'!B793=0,"",'PSP Data'!B793)</f>
        <v/>
      </c>
      <c r="C790">
        <f>'PSP Data'!C793</f>
        <v>0</v>
      </c>
      <c r="D790">
        <f>'PSP Data'!D793</f>
        <v>0</v>
      </c>
      <c r="E790">
        <f>'PSP Data'!E793</f>
        <v>0</v>
      </c>
      <c r="F790">
        <f>'PSP Data'!F793</f>
        <v>0</v>
      </c>
      <c r="G790">
        <f>'PSP Data'!G793</f>
        <v>0</v>
      </c>
      <c r="H790">
        <f>'PSP Data'!H793</f>
        <v>0</v>
      </c>
      <c r="I790">
        <f>'PSP Data'!I793</f>
        <v>0</v>
      </c>
      <c r="J790" s="29" t="e">
        <f t="shared" ref="J790:J853" si="60">IF(C790&gt;=25,C790,#N/A)</f>
        <v>#N/A</v>
      </c>
      <c r="K790" s="29" t="e">
        <f>IF(AND((A790&lt;'PSP Data'!$C$11),(A790&lt;&gt;0)),Analysis!C790,#N/A)</f>
        <v>#N/A</v>
      </c>
      <c r="L790" t="e">
        <f>IF(VLOOKUP(B790,Table1[],4)=0,"unknown", VLOOKUP(B790,Table1[],4))</f>
        <v>#N/A</v>
      </c>
      <c r="M790">
        <v>1</v>
      </c>
      <c r="N790" t="e">
        <f t="shared" ref="N790:N853" si="61">IF(L790="timber",B790,"")</f>
        <v>#N/A</v>
      </c>
      <c r="O790" t="str">
        <f t="shared" ref="O790:O853" si="62">IF(D790="y",B790,"")</f>
        <v/>
      </c>
      <c r="P790" t="str">
        <f t="shared" ref="P790:P853" si="63">IF(F790="y",B790,"")</f>
        <v/>
      </c>
      <c r="Q790" t="str">
        <f t="shared" ref="Q790:Q853" si="64">IF(B790="","",ISNUMBER(FIND("Dead wood",B790:B1669)))</f>
        <v/>
      </c>
      <c r="R790">
        <v>1</v>
      </c>
    </row>
    <row r="791" spans="1:18">
      <c r="A791">
        <f>'PSP Data'!A794</f>
        <v>0</v>
      </c>
      <c r="B791" t="str">
        <f>IF('PSP Data'!B794=0,"",'PSP Data'!B794)</f>
        <v/>
      </c>
      <c r="C791">
        <f>'PSP Data'!C794</f>
        <v>0</v>
      </c>
      <c r="D791">
        <f>'PSP Data'!D794</f>
        <v>0</v>
      </c>
      <c r="E791">
        <f>'PSP Data'!E794</f>
        <v>0</v>
      </c>
      <c r="F791">
        <f>'PSP Data'!F794</f>
        <v>0</v>
      </c>
      <c r="G791">
        <f>'PSP Data'!G794</f>
        <v>0</v>
      </c>
      <c r="H791">
        <f>'PSP Data'!H794</f>
        <v>0</v>
      </c>
      <c r="I791">
        <f>'PSP Data'!I794</f>
        <v>0</v>
      </c>
      <c r="J791" s="29" t="e">
        <f t="shared" si="60"/>
        <v>#N/A</v>
      </c>
      <c r="K791" s="29" t="e">
        <f>IF(AND((A791&lt;'PSP Data'!$C$11),(A791&lt;&gt;0)),Analysis!C791,#N/A)</f>
        <v>#N/A</v>
      </c>
      <c r="L791" t="e">
        <f>IF(VLOOKUP(B791,Table1[],4)=0,"unknown", VLOOKUP(B791,Table1[],4))</f>
        <v>#N/A</v>
      </c>
      <c r="M791">
        <v>1</v>
      </c>
      <c r="N791" t="e">
        <f t="shared" si="61"/>
        <v>#N/A</v>
      </c>
      <c r="O791" t="str">
        <f t="shared" si="62"/>
        <v/>
      </c>
      <c r="P791" t="str">
        <f t="shared" si="63"/>
        <v/>
      </c>
      <c r="Q791" t="str">
        <f t="shared" si="64"/>
        <v/>
      </c>
      <c r="R791">
        <v>1</v>
      </c>
    </row>
    <row r="792" spans="1:18">
      <c r="A792">
        <f>'PSP Data'!A795</f>
        <v>0</v>
      </c>
      <c r="B792" t="str">
        <f>IF('PSP Data'!B795=0,"",'PSP Data'!B795)</f>
        <v/>
      </c>
      <c r="C792">
        <f>'PSP Data'!C795</f>
        <v>0</v>
      </c>
      <c r="D792">
        <f>'PSP Data'!D795</f>
        <v>0</v>
      </c>
      <c r="E792">
        <f>'PSP Data'!E795</f>
        <v>0</v>
      </c>
      <c r="F792">
        <f>'PSP Data'!F795</f>
        <v>0</v>
      </c>
      <c r="G792">
        <f>'PSP Data'!G795</f>
        <v>0</v>
      </c>
      <c r="H792">
        <f>'PSP Data'!H795</f>
        <v>0</v>
      </c>
      <c r="I792">
        <f>'PSP Data'!I795</f>
        <v>0</v>
      </c>
      <c r="J792" s="29" t="e">
        <f t="shared" si="60"/>
        <v>#N/A</v>
      </c>
      <c r="K792" s="29" t="e">
        <f>IF(AND((A792&lt;'PSP Data'!$C$11),(A792&lt;&gt;0)),Analysis!C792,#N/A)</f>
        <v>#N/A</v>
      </c>
      <c r="L792" t="e">
        <f>IF(VLOOKUP(B792,Table1[],4)=0,"unknown", VLOOKUP(B792,Table1[],4))</f>
        <v>#N/A</v>
      </c>
      <c r="M792">
        <v>1</v>
      </c>
      <c r="N792" t="e">
        <f t="shared" si="61"/>
        <v>#N/A</v>
      </c>
      <c r="O792" t="str">
        <f t="shared" si="62"/>
        <v/>
      </c>
      <c r="P792" t="str">
        <f t="shared" si="63"/>
        <v/>
      </c>
      <c r="Q792" t="str">
        <f t="shared" si="64"/>
        <v/>
      </c>
      <c r="R792">
        <v>1</v>
      </c>
    </row>
    <row r="793" spans="1:18">
      <c r="A793">
        <f>'PSP Data'!A796</f>
        <v>0</v>
      </c>
      <c r="B793" t="str">
        <f>IF('PSP Data'!B796=0,"",'PSP Data'!B796)</f>
        <v/>
      </c>
      <c r="C793">
        <f>'PSP Data'!C796</f>
        <v>0</v>
      </c>
      <c r="D793">
        <f>'PSP Data'!D796</f>
        <v>0</v>
      </c>
      <c r="E793">
        <f>'PSP Data'!E796</f>
        <v>0</v>
      </c>
      <c r="F793">
        <f>'PSP Data'!F796</f>
        <v>0</v>
      </c>
      <c r="G793">
        <f>'PSP Data'!G796</f>
        <v>0</v>
      </c>
      <c r="H793">
        <f>'PSP Data'!H796</f>
        <v>0</v>
      </c>
      <c r="I793">
        <f>'PSP Data'!I796</f>
        <v>0</v>
      </c>
      <c r="J793" s="29" t="e">
        <f t="shared" si="60"/>
        <v>#N/A</v>
      </c>
      <c r="K793" s="29" t="e">
        <f>IF(AND((A793&lt;'PSP Data'!$C$11),(A793&lt;&gt;0)),Analysis!C793,#N/A)</f>
        <v>#N/A</v>
      </c>
      <c r="L793" t="e">
        <f>IF(VLOOKUP(B793,Table1[],4)=0,"unknown", VLOOKUP(B793,Table1[],4))</f>
        <v>#N/A</v>
      </c>
      <c r="M793">
        <v>1</v>
      </c>
      <c r="N793" t="e">
        <f t="shared" si="61"/>
        <v>#N/A</v>
      </c>
      <c r="O793" t="str">
        <f t="shared" si="62"/>
        <v/>
      </c>
      <c r="P793" t="str">
        <f t="shared" si="63"/>
        <v/>
      </c>
      <c r="Q793" t="str">
        <f t="shared" si="64"/>
        <v/>
      </c>
      <c r="R793">
        <v>1</v>
      </c>
    </row>
    <row r="794" spans="1:18">
      <c r="A794">
        <f>'PSP Data'!A797</f>
        <v>0</v>
      </c>
      <c r="B794" t="str">
        <f>IF('PSP Data'!B797=0,"",'PSP Data'!B797)</f>
        <v/>
      </c>
      <c r="C794">
        <f>'PSP Data'!C797</f>
        <v>0</v>
      </c>
      <c r="D794">
        <f>'PSP Data'!D797</f>
        <v>0</v>
      </c>
      <c r="E794">
        <f>'PSP Data'!E797</f>
        <v>0</v>
      </c>
      <c r="F794">
        <f>'PSP Data'!F797</f>
        <v>0</v>
      </c>
      <c r="G794">
        <f>'PSP Data'!G797</f>
        <v>0</v>
      </c>
      <c r="H794">
        <f>'PSP Data'!H797</f>
        <v>0</v>
      </c>
      <c r="I794">
        <f>'PSP Data'!I797</f>
        <v>0</v>
      </c>
      <c r="J794" s="29" t="e">
        <f t="shared" si="60"/>
        <v>#N/A</v>
      </c>
      <c r="K794" s="29" t="e">
        <f>IF(AND((A794&lt;'PSP Data'!$C$11),(A794&lt;&gt;0)),Analysis!C794,#N/A)</f>
        <v>#N/A</v>
      </c>
      <c r="L794" t="e">
        <f>IF(VLOOKUP(B794,Table1[],4)=0,"unknown", VLOOKUP(B794,Table1[],4))</f>
        <v>#N/A</v>
      </c>
      <c r="M794">
        <v>1</v>
      </c>
      <c r="N794" t="e">
        <f t="shared" si="61"/>
        <v>#N/A</v>
      </c>
      <c r="O794" t="str">
        <f t="shared" si="62"/>
        <v/>
      </c>
      <c r="P794" t="str">
        <f t="shared" si="63"/>
        <v/>
      </c>
      <c r="Q794" t="str">
        <f t="shared" si="64"/>
        <v/>
      </c>
      <c r="R794">
        <v>1</v>
      </c>
    </row>
    <row r="795" spans="1:18">
      <c r="A795">
        <f>'PSP Data'!A798</f>
        <v>0</v>
      </c>
      <c r="B795" t="str">
        <f>IF('PSP Data'!B798=0,"",'PSP Data'!B798)</f>
        <v/>
      </c>
      <c r="C795">
        <f>'PSP Data'!C798</f>
        <v>0</v>
      </c>
      <c r="D795">
        <f>'PSP Data'!D798</f>
        <v>0</v>
      </c>
      <c r="E795">
        <f>'PSP Data'!E798</f>
        <v>0</v>
      </c>
      <c r="F795">
        <f>'PSP Data'!F798</f>
        <v>0</v>
      </c>
      <c r="G795">
        <f>'PSP Data'!G798</f>
        <v>0</v>
      </c>
      <c r="H795">
        <f>'PSP Data'!H798</f>
        <v>0</v>
      </c>
      <c r="I795">
        <f>'PSP Data'!I798</f>
        <v>0</v>
      </c>
      <c r="J795" s="29" t="e">
        <f t="shared" si="60"/>
        <v>#N/A</v>
      </c>
      <c r="K795" s="29" t="e">
        <f>IF(AND((A795&lt;'PSP Data'!$C$11),(A795&lt;&gt;0)),Analysis!C795,#N/A)</f>
        <v>#N/A</v>
      </c>
      <c r="L795" t="e">
        <f>IF(VLOOKUP(B795,Table1[],4)=0,"unknown", VLOOKUP(B795,Table1[],4))</f>
        <v>#N/A</v>
      </c>
      <c r="M795">
        <v>1</v>
      </c>
      <c r="N795" t="e">
        <f t="shared" si="61"/>
        <v>#N/A</v>
      </c>
      <c r="O795" t="str">
        <f t="shared" si="62"/>
        <v/>
      </c>
      <c r="P795" t="str">
        <f t="shared" si="63"/>
        <v/>
      </c>
      <c r="Q795" t="str">
        <f t="shared" si="64"/>
        <v/>
      </c>
      <c r="R795">
        <v>1</v>
      </c>
    </row>
    <row r="796" spans="1:18">
      <c r="A796">
        <f>'PSP Data'!A799</f>
        <v>0</v>
      </c>
      <c r="B796" t="str">
        <f>IF('PSP Data'!B799=0,"",'PSP Data'!B799)</f>
        <v/>
      </c>
      <c r="C796">
        <f>'PSP Data'!C799</f>
        <v>0</v>
      </c>
      <c r="D796">
        <f>'PSP Data'!D799</f>
        <v>0</v>
      </c>
      <c r="E796">
        <f>'PSP Data'!E799</f>
        <v>0</v>
      </c>
      <c r="F796">
        <f>'PSP Data'!F799</f>
        <v>0</v>
      </c>
      <c r="G796">
        <f>'PSP Data'!G799</f>
        <v>0</v>
      </c>
      <c r="H796">
        <f>'PSP Data'!H799</f>
        <v>0</v>
      </c>
      <c r="I796">
        <f>'PSP Data'!I799</f>
        <v>0</v>
      </c>
      <c r="J796" s="29" t="e">
        <f t="shared" si="60"/>
        <v>#N/A</v>
      </c>
      <c r="K796" s="29" t="e">
        <f>IF(AND((A796&lt;'PSP Data'!$C$11),(A796&lt;&gt;0)),Analysis!C796,#N/A)</f>
        <v>#N/A</v>
      </c>
      <c r="L796" t="e">
        <f>IF(VLOOKUP(B796,Table1[],4)=0,"unknown", VLOOKUP(B796,Table1[],4))</f>
        <v>#N/A</v>
      </c>
      <c r="M796">
        <v>1</v>
      </c>
      <c r="N796" t="e">
        <f t="shared" si="61"/>
        <v>#N/A</v>
      </c>
      <c r="O796" t="str">
        <f t="shared" si="62"/>
        <v/>
      </c>
      <c r="P796" t="str">
        <f t="shared" si="63"/>
        <v/>
      </c>
      <c r="Q796" t="str">
        <f t="shared" si="64"/>
        <v/>
      </c>
      <c r="R796">
        <v>1</v>
      </c>
    </row>
    <row r="797" spans="1:18">
      <c r="A797">
        <f>'PSP Data'!A800</f>
        <v>0</v>
      </c>
      <c r="B797" t="str">
        <f>IF('PSP Data'!B800=0,"",'PSP Data'!B800)</f>
        <v/>
      </c>
      <c r="C797">
        <f>'PSP Data'!C800</f>
        <v>0</v>
      </c>
      <c r="D797">
        <f>'PSP Data'!D800</f>
        <v>0</v>
      </c>
      <c r="E797">
        <f>'PSP Data'!E800</f>
        <v>0</v>
      </c>
      <c r="F797">
        <f>'PSP Data'!F800</f>
        <v>0</v>
      </c>
      <c r="G797">
        <f>'PSP Data'!G800</f>
        <v>0</v>
      </c>
      <c r="H797">
        <f>'PSP Data'!H800</f>
        <v>0</v>
      </c>
      <c r="I797">
        <f>'PSP Data'!I800</f>
        <v>0</v>
      </c>
      <c r="J797" s="29" t="e">
        <f t="shared" si="60"/>
        <v>#N/A</v>
      </c>
      <c r="K797" s="29" t="e">
        <f>IF(AND((A797&lt;'PSP Data'!$C$11),(A797&lt;&gt;0)),Analysis!C797,#N/A)</f>
        <v>#N/A</v>
      </c>
      <c r="L797" t="e">
        <f>IF(VLOOKUP(B797,Table1[],4)=0,"unknown", VLOOKUP(B797,Table1[],4))</f>
        <v>#N/A</v>
      </c>
      <c r="M797">
        <v>1</v>
      </c>
      <c r="N797" t="e">
        <f t="shared" si="61"/>
        <v>#N/A</v>
      </c>
      <c r="O797" t="str">
        <f t="shared" si="62"/>
        <v/>
      </c>
      <c r="P797" t="str">
        <f t="shared" si="63"/>
        <v/>
      </c>
      <c r="Q797" t="str">
        <f t="shared" si="64"/>
        <v/>
      </c>
      <c r="R797">
        <v>1</v>
      </c>
    </row>
    <row r="798" spans="1:18">
      <c r="A798">
        <f>'PSP Data'!A801</f>
        <v>0</v>
      </c>
      <c r="B798" t="str">
        <f>IF('PSP Data'!B801=0,"",'PSP Data'!B801)</f>
        <v/>
      </c>
      <c r="C798">
        <f>'PSP Data'!C801</f>
        <v>0</v>
      </c>
      <c r="D798">
        <f>'PSP Data'!D801</f>
        <v>0</v>
      </c>
      <c r="E798">
        <f>'PSP Data'!E801</f>
        <v>0</v>
      </c>
      <c r="F798">
        <f>'PSP Data'!F801</f>
        <v>0</v>
      </c>
      <c r="G798">
        <f>'PSP Data'!G801</f>
        <v>0</v>
      </c>
      <c r="H798">
        <f>'PSP Data'!H801</f>
        <v>0</v>
      </c>
      <c r="I798">
        <f>'PSP Data'!I801</f>
        <v>0</v>
      </c>
      <c r="J798" s="29" t="e">
        <f t="shared" si="60"/>
        <v>#N/A</v>
      </c>
      <c r="K798" s="29" t="e">
        <f>IF(AND((A798&lt;'PSP Data'!$C$11),(A798&lt;&gt;0)),Analysis!C798,#N/A)</f>
        <v>#N/A</v>
      </c>
      <c r="L798" t="e">
        <f>IF(VLOOKUP(B798,Table1[],4)=0,"unknown", VLOOKUP(B798,Table1[],4))</f>
        <v>#N/A</v>
      </c>
      <c r="M798">
        <v>1</v>
      </c>
      <c r="N798" t="e">
        <f t="shared" si="61"/>
        <v>#N/A</v>
      </c>
      <c r="O798" t="str">
        <f t="shared" si="62"/>
        <v/>
      </c>
      <c r="P798" t="str">
        <f t="shared" si="63"/>
        <v/>
      </c>
      <c r="Q798" t="str">
        <f t="shared" si="64"/>
        <v/>
      </c>
      <c r="R798">
        <v>1</v>
      </c>
    </row>
    <row r="799" spans="1:18">
      <c r="A799">
        <f>'PSP Data'!A802</f>
        <v>0</v>
      </c>
      <c r="B799" t="str">
        <f>IF('PSP Data'!B802=0,"",'PSP Data'!B802)</f>
        <v/>
      </c>
      <c r="C799">
        <f>'PSP Data'!C802</f>
        <v>0</v>
      </c>
      <c r="D799">
        <f>'PSP Data'!D802</f>
        <v>0</v>
      </c>
      <c r="E799">
        <f>'PSP Data'!E802</f>
        <v>0</v>
      </c>
      <c r="F799">
        <f>'PSP Data'!F802</f>
        <v>0</v>
      </c>
      <c r="G799">
        <f>'PSP Data'!G802</f>
        <v>0</v>
      </c>
      <c r="H799">
        <f>'PSP Data'!H802</f>
        <v>0</v>
      </c>
      <c r="I799">
        <f>'PSP Data'!I802</f>
        <v>0</v>
      </c>
      <c r="J799" s="29" t="e">
        <f t="shared" si="60"/>
        <v>#N/A</v>
      </c>
      <c r="K799" s="29" t="e">
        <f>IF(AND((A799&lt;'PSP Data'!$C$11),(A799&lt;&gt;0)),Analysis!C799,#N/A)</f>
        <v>#N/A</v>
      </c>
      <c r="L799" t="e">
        <f>IF(VLOOKUP(B799,Table1[],4)=0,"unknown", VLOOKUP(B799,Table1[],4))</f>
        <v>#N/A</v>
      </c>
      <c r="M799">
        <v>1</v>
      </c>
      <c r="N799" t="e">
        <f t="shared" si="61"/>
        <v>#N/A</v>
      </c>
      <c r="O799" t="str">
        <f t="shared" si="62"/>
        <v/>
      </c>
      <c r="P799" t="str">
        <f t="shared" si="63"/>
        <v/>
      </c>
      <c r="Q799" t="str">
        <f t="shared" si="64"/>
        <v/>
      </c>
      <c r="R799">
        <v>1</v>
      </c>
    </row>
    <row r="800" spans="1:18">
      <c r="A800">
        <f>'PSP Data'!A803</f>
        <v>0</v>
      </c>
      <c r="B800" t="str">
        <f>IF('PSP Data'!B803=0,"",'PSP Data'!B803)</f>
        <v/>
      </c>
      <c r="C800">
        <f>'PSP Data'!C803</f>
        <v>0</v>
      </c>
      <c r="D800">
        <f>'PSP Data'!D803</f>
        <v>0</v>
      </c>
      <c r="E800">
        <f>'PSP Data'!E803</f>
        <v>0</v>
      </c>
      <c r="F800">
        <f>'PSP Data'!F803</f>
        <v>0</v>
      </c>
      <c r="G800">
        <f>'PSP Data'!G803</f>
        <v>0</v>
      </c>
      <c r="H800">
        <f>'PSP Data'!H803</f>
        <v>0</v>
      </c>
      <c r="I800">
        <f>'PSP Data'!I803</f>
        <v>0</v>
      </c>
      <c r="J800" s="29" t="e">
        <f t="shared" si="60"/>
        <v>#N/A</v>
      </c>
      <c r="K800" s="29" t="e">
        <f>IF(AND((A800&lt;'PSP Data'!$C$11),(A800&lt;&gt;0)),Analysis!C800,#N/A)</f>
        <v>#N/A</v>
      </c>
      <c r="L800" t="e">
        <f>IF(VLOOKUP(B800,Table1[],4)=0,"unknown", VLOOKUP(B800,Table1[],4))</f>
        <v>#N/A</v>
      </c>
      <c r="M800">
        <v>1</v>
      </c>
      <c r="N800" t="e">
        <f t="shared" si="61"/>
        <v>#N/A</v>
      </c>
      <c r="O800" t="str">
        <f t="shared" si="62"/>
        <v/>
      </c>
      <c r="P800" t="str">
        <f t="shared" si="63"/>
        <v/>
      </c>
      <c r="Q800" t="str">
        <f t="shared" si="64"/>
        <v/>
      </c>
      <c r="R800">
        <v>1</v>
      </c>
    </row>
    <row r="801" spans="1:18">
      <c r="A801">
        <f>'PSP Data'!A804</f>
        <v>0</v>
      </c>
      <c r="B801" t="str">
        <f>IF('PSP Data'!B804=0,"",'PSP Data'!B804)</f>
        <v/>
      </c>
      <c r="C801">
        <f>'PSP Data'!C804</f>
        <v>0</v>
      </c>
      <c r="D801">
        <f>'PSP Data'!D804</f>
        <v>0</v>
      </c>
      <c r="E801">
        <f>'PSP Data'!E804</f>
        <v>0</v>
      </c>
      <c r="F801">
        <f>'PSP Data'!F804</f>
        <v>0</v>
      </c>
      <c r="G801">
        <f>'PSP Data'!G804</f>
        <v>0</v>
      </c>
      <c r="H801">
        <f>'PSP Data'!H804</f>
        <v>0</v>
      </c>
      <c r="I801">
        <f>'PSP Data'!I804</f>
        <v>0</v>
      </c>
      <c r="J801" s="29" t="e">
        <f t="shared" si="60"/>
        <v>#N/A</v>
      </c>
      <c r="K801" s="29" t="e">
        <f>IF(AND((A801&lt;'PSP Data'!$C$11),(A801&lt;&gt;0)),Analysis!C801,#N/A)</f>
        <v>#N/A</v>
      </c>
      <c r="L801" t="e">
        <f>IF(VLOOKUP(B801,Table1[],4)=0,"unknown", VLOOKUP(B801,Table1[],4))</f>
        <v>#N/A</v>
      </c>
      <c r="M801">
        <v>1</v>
      </c>
      <c r="N801" t="e">
        <f t="shared" si="61"/>
        <v>#N/A</v>
      </c>
      <c r="O801" t="str">
        <f t="shared" si="62"/>
        <v/>
      </c>
      <c r="P801" t="str">
        <f t="shared" si="63"/>
        <v/>
      </c>
      <c r="Q801" t="str">
        <f t="shared" si="64"/>
        <v/>
      </c>
      <c r="R801">
        <v>1</v>
      </c>
    </row>
    <row r="802" spans="1:18">
      <c r="A802">
        <f>'PSP Data'!A805</f>
        <v>0</v>
      </c>
      <c r="B802" t="str">
        <f>IF('PSP Data'!B805=0,"",'PSP Data'!B805)</f>
        <v/>
      </c>
      <c r="C802">
        <f>'PSP Data'!C805</f>
        <v>0</v>
      </c>
      <c r="D802">
        <f>'PSP Data'!D805</f>
        <v>0</v>
      </c>
      <c r="E802">
        <f>'PSP Data'!E805</f>
        <v>0</v>
      </c>
      <c r="F802">
        <f>'PSP Data'!F805</f>
        <v>0</v>
      </c>
      <c r="G802">
        <f>'PSP Data'!G805</f>
        <v>0</v>
      </c>
      <c r="H802">
        <f>'PSP Data'!H805</f>
        <v>0</v>
      </c>
      <c r="I802">
        <f>'PSP Data'!I805</f>
        <v>0</v>
      </c>
      <c r="J802" s="29" t="e">
        <f t="shared" si="60"/>
        <v>#N/A</v>
      </c>
      <c r="K802" s="29" t="e">
        <f>IF(AND((A802&lt;'PSP Data'!$C$11),(A802&lt;&gt;0)),Analysis!C802,#N/A)</f>
        <v>#N/A</v>
      </c>
      <c r="L802" t="e">
        <f>IF(VLOOKUP(B802,Table1[],4)=0,"unknown", VLOOKUP(B802,Table1[],4))</f>
        <v>#N/A</v>
      </c>
      <c r="M802">
        <v>1</v>
      </c>
      <c r="N802" t="e">
        <f t="shared" si="61"/>
        <v>#N/A</v>
      </c>
      <c r="O802" t="str">
        <f t="shared" si="62"/>
        <v/>
      </c>
      <c r="P802" t="str">
        <f t="shared" si="63"/>
        <v/>
      </c>
      <c r="Q802" t="str">
        <f t="shared" si="64"/>
        <v/>
      </c>
      <c r="R802">
        <v>1</v>
      </c>
    </row>
    <row r="803" spans="1:18">
      <c r="A803">
        <f>'PSP Data'!A806</f>
        <v>0</v>
      </c>
      <c r="B803" t="str">
        <f>IF('PSP Data'!B806=0,"",'PSP Data'!B806)</f>
        <v/>
      </c>
      <c r="C803">
        <f>'PSP Data'!C806</f>
        <v>0</v>
      </c>
      <c r="D803">
        <f>'PSP Data'!D806</f>
        <v>0</v>
      </c>
      <c r="E803">
        <f>'PSP Data'!E806</f>
        <v>0</v>
      </c>
      <c r="F803">
        <f>'PSP Data'!F806</f>
        <v>0</v>
      </c>
      <c r="G803">
        <f>'PSP Data'!G806</f>
        <v>0</v>
      </c>
      <c r="H803">
        <f>'PSP Data'!H806</f>
        <v>0</v>
      </c>
      <c r="I803">
        <f>'PSP Data'!I806</f>
        <v>0</v>
      </c>
      <c r="J803" s="29" t="e">
        <f t="shared" si="60"/>
        <v>#N/A</v>
      </c>
      <c r="K803" s="29" t="e">
        <f>IF(AND((A803&lt;'PSP Data'!$C$11),(A803&lt;&gt;0)),Analysis!C803,#N/A)</f>
        <v>#N/A</v>
      </c>
      <c r="L803" t="e">
        <f>IF(VLOOKUP(B803,Table1[],4)=0,"unknown", VLOOKUP(B803,Table1[],4))</f>
        <v>#N/A</v>
      </c>
      <c r="M803">
        <v>1</v>
      </c>
      <c r="N803" t="e">
        <f t="shared" si="61"/>
        <v>#N/A</v>
      </c>
      <c r="O803" t="str">
        <f t="shared" si="62"/>
        <v/>
      </c>
      <c r="P803" t="str">
        <f t="shared" si="63"/>
        <v/>
      </c>
      <c r="Q803" t="str">
        <f t="shared" si="64"/>
        <v/>
      </c>
      <c r="R803">
        <v>1</v>
      </c>
    </row>
    <row r="804" spans="1:18">
      <c r="A804">
        <f>'PSP Data'!A807</f>
        <v>0</v>
      </c>
      <c r="B804" t="str">
        <f>IF('PSP Data'!B807=0,"",'PSP Data'!B807)</f>
        <v/>
      </c>
      <c r="C804">
        <f>'PSP Data'!C807</f>
        <v>0</v>
      </c>
      <c r="D804">
        <f>'PSP Data'!D807</f>
        <v>0</v>
      </c>
      <c r="E804">
        <f>'PSP Data'!E807</f>
        <v>0</v>
      </c>
      <c r="F804">
        <f>'PSP Data'!F807</f>
        <v>0</v>
      </c>
      <c r="G804">
        <f>'PSP Data'!G807</f>
        <v>0</v>
      </c>
      <c r="H804">
        <f>'PSP Data'!H807</f>
        <v>0</v>
      </c>
      <c r="I804">
        <f>'PSP Data'!I807</f>
        <v>0</v>
      </c>
      <c r="J804" s="29" t="e">
        <f t="shared" si="60"/>
        <v>#N/A</v>
      </c>
      <c r="K804" s="29" t="e">
        <f>IF(AND((A804&lt;'PSP Data'!$C$11),(A804&lt;&gt;0)),Analysis!C804,#N/A)</f>
        <v>#N/A</v>
      </c>
      <c r="L804" t="e">
        <f>IF(VLOOKUP(B804,Table1[],4)=0,"unknown", VLOOKUP(B804,Table1[],4))</f>
        <v>#N/A</v>
      </c>
      <c r="M804">
        <v>1</v>
      </c>
      <c r="N804" t="e">
        <f t="shared" si="61"/>
        <v>#N/A</v>
      </c>
      <c r="O804" t="str">
        <f t="shared" si="62"/>
        <v/>
      </c>
      <c r="P804" t="str">
        <f t="shared" si="63"/>
        <v/>
      </c>
      <c r="Q804" t="str">
        <f t="shared" si="64"/>
        <v/>
      </c>
      <c r="R804">
        <v>1</v>
      </c>
    </row>
    <row r="805" spans="1:18">
      <c r="A805">
        <f>'PSP Data'!A808</f>
        <v>0</v>
      </c>
      <c r="B805" t="str">
        <f>IF('PSP Data'!B808=0,"",'PSP Data'!B808)</f>
        <v/>
      </c>
      <c r="C805">
        <f>'PSP Data'!C808</f>
        <v>0</v>
      </c>
      <c r="D805">
        <f>'PSP Data'!D808</f>
        <v>0</v>
      </c>
      <c r="E805">
        <f>'PSP Data'!E808</f>
        <v>0</v>
      </c>
      <c r="F805">
        <f>'PSP Data'!F808</f>
        <v>0</v>
      </c>
      <c r="G805">
        <f>'PSP Data'!G808</f>
        <v>0</v>
      </c>
      <c r="H805">
        <f>'PSP Data'!H808</f>
        <v>0</v>
      </c>
      <c r="I805">
        <f>'PSP Data'!I808</f>
        <v>0</v>
      </c>
      <c r="J805" s="29" t="e">
        <f t="shared" si="60"/>
        <v>#N/A</v>
      </c>
      <c r="K805" s="29" t="e">
        <f>IF(AND((A805&lt;'PSP Data'!$C$11),(A805&lt;&gt;0)),Analysis!C805,#N/A)</f>
        <v>#N/A</v>
      </c>
      <c r="L805" t="e">
        <f>IF(VLOOKUP(B805,Table1[],4)=0,"unknown", VLOOKUP(B805,Table1[],4))</f>
        <v>#N/A</v>
      </c>
      <c r="M805">
        <v>1</v>
      </c>
      <c r="N805" t="e">
        <f t="shared" si="61"/>
        <v>#N/A</v>
      </c>
      <c r="O805" t="str">
        <f t="shared" si="62"/>
        <v/>
      </c>
      <c r="P805" t="str">
        <f t="shared" si="63"/>
        <v/>
      </c>
      <c r="Q805" t="str">
        <f t="shared" si="64"/>
        <v/>
      </c>
      <c r="R805">
        <v>1</v>
      </c>
    </row>
    <row r="806" spans="1:18">
      <c r="A806">
        <f>'PSP Data'!A809</f>
        <v>0</v>
      </c>
      <c r="B806" t="str">
        <f>IF('PSP Data'!B809=0,"",'PSP Data'!B809)</f>
        <v/>
      </c>
      <c r="C806">
        <f>'PSP Data'!C809</f>
        <v>0</v>
      </c>
      <c r="D806">
        <f>'PSP Data'!D809</f>
        <v>0</v>
      </c>
      <c r="E806">
        <f>'PSP Data'!E809</f>
        <v>0</v>
      </c>
      <c r="F806">
        <f>'PSP Data'!F809</f>
        <v>0</v>
      </c>
      <c r="G806">
        <f>'PSP Data'!G809</f>
        <v>0</v>
      </c>
      <c r="H806">
        <f>'PSP Data'!H809</f>
        <v>0</v>
      </c>
      <c r="I806">
        <f>'PSP Data'!I809</f>
        <v>0</v>
      </c>
      <c r="J806" s="29" t="e">
        <f t="shared" si="60"/>
        <v>#N/A</v>
      </c>
      <c r="K806" s="29" t="e">
        <f>IF(AND((A806&lt;'PSP Data'!$C$11),(A806&lt;&gt;0)),Analysis!C806,#N/A)</f>
        <v>#N/A</v>
      </c>
      <c r="L806" t="e">
        <f>IF(VLOOKUP(B806,Table1[],4)=0,"unknown", VLOOKUP(B806,Table1[],4))</f>
        <v>#N/A</v>
      </c>
      <c r="M806">
        <v>1</v>
      </c>
      <c r="N806" t="e">
        <f t="shared" si="61"/>
        <v>#N/A</v>
      </c>
      <c r="O806" t="str">
        <f t="shared" si="62"/>
        <v/>
      </c>
      <c r="P806" t="str">
        <f t="shared" si="63"/>
        <v/>
      </c>
      <c r="Q806" t="str">
        <f t="shared" si="64"/>
        <v/>
      </c>
      <c r="R806">
        <v>1</v>
      </c>
    </row>
    <row r="807" spans="1:18">
      <c r="A807">
        <f>'PSP Data'!A810</f>
        <v>0</v>
      </c>
      <c r="B807" t="str">
        <f>IF('PSP Data'!B810=0,"",'PSP Data'!B810)</f>
        <v/>
      </c>
      <c r="C807">
        <f>'PSP Data'!C810</f>
        <v>0</v>
      </c>
      <c r="D807">
        <f>'PSP Data'!D810</f>
        <v>0</v>
      </c>
      <c r="E807">
        <f>'PSP Data'!E810</f>
        <v>0</v>
      </c>
      <c r="F807">
        <f>'PSP Data'!F810</f>
        <v>0</v>
      </c>
      <c r="G807">
        <f>'PSP Data'!G810</f>
        <v>0</v>
      </c>
      <c r="H807">
        <f>'PSP Data'!H810</f>
        <v>0</v>
      </c>
      <c r="I807">
        <f>'PSP Data'!I810</f>
        <v>0</v>
      </c>
      <c r="J807" s="29" t="e">
        <f t="shared" si="60"/>
        <v>#N/A</v>
      </c>
      <c r="K807" s="29" t="e">
        <f>IF(AND((A807&lt;'PSP Data'!$C$11),(A807&lt;&gt;0)),Analysis!C807,#N/A)</f>
        <v>#N/A</v>
      </c>
      <c r="L807" t="e">
        <f>IF(VLOOKUP(B807,Table1[],4)=0,"unknown", VLOOKUP(B807,Table1[],4))</f>
        <v>#N/A</v>
      </c>
      <c r="M807">
        <v>1</v>
      </c>
      <c r="N807" t="e">
        <f t="shared" si="61"/>
        <v>#N/A</v>
      </c>
      <c r="O807" t="str">
        <f t="shared" si="62"/>
        <v/>
      </c>
      <c r="P807" t="str">
        <f t="shared" si="63"/>
        <v/>
      </c>
      <c r="Q807" t="str">
        <f t="shared" si="64"/>
        <v/>
      </c>
      <c r="R807">
        <v>1</v>
      </c>
    </row>
    <row r="808" spans="1:18">
      <c r="A808">
        <f>'PSP Data'!A811</f>
        <v>0</v>
      </c>
      <c r="B808" t="str">
        <f>IF('PSP Data'!B811=0,"",'PSP Data'!B811)</f>
        <v/>
      </c>
      <c r="C808">
        <f>'PSP Data'!C811</f>
        <v>0</v>
      </c>
      <c r="D808">
        <f>'PSP Data'!D811</f>
        <v>0</v>
      </c>
      <c r="E808">
        <f>'PSP Data'!E811</f>
        <v>0</v>
      </c>
      <c r="F808">
        <f>'PSP Data'!F811</f>
        <v>0</v>
      </c>
      <c r="G808">
        <f>'PSP Data'!G811</f>
        <v>0</v>
      </c>
      <c r="H808">
        <f>'PSP Data'!H811</f>
        <v>0</v>
      </c>
      <c r="I808">
        <f>'PSP Data'!I811</f>
        <v>0</v>
      </c>
      <c r="J808" s="29" t="e">
        <f t="shared" si="60"/>
        <v>#N/A</v>
      </c>
      <c r="K808" s="29" t="e">
        <f>IF(AND((A808&lt;'PSP Data'!$C$11),(A808&lt;&gt;0)),Analysis!C808,#N/A)</f>
        <v>#N/A</v>
      </c>
      <c r="L808" t="e">
        <f>IF(VLOOKUP(B808,Table1[],4)=0,"unknown", VLOOKUP(B808,Table1[],4))</f>
        <v>#N/A</v>
      </c>
      <c r="M808">
        <v>1</v>
      </c>
      <c r="N808" t="e">
        <f t="shared" si="61"/>
        <v>#N/A</v>
      </c>
      <c r="O808" t="str">
        <f t="shared" si="62"/>
        <v/>
      </c>
      <c r="P808" t="str">
        <f t="shared" si="63"/>
        <v/>
      </c>
      <c r="Q808" t="str">
        <f t="shared" si="64"/>
        <v/>
      </c>
      <c r="R808">
        <v>1</v>
      </c>
    </row>
    <row r="809" spans="1:18">
      <c r="A809">
        <f>'PSP Data'!A812</f>
        <v>0</v>
      </c>
      <c r="B809" t="str">
        <f>IF('PSP Data'!B812=0,"",'PSP Data'!B812)</f>
        <v/>
      </c>
      <c r="C809">
        <f>'PSP Data'!C812</f>
        <v>0</v>
      </c>
      <c r="D809">
        <f>'PSP Data'!D812</f>
        <v>0</v>
      </c>
      <c r="E809">
        <f>'PSP Data'!E812</f>
        <v>0</v>
      </c>
      <c r="F809">
        <f>'PSP Data'!F812</f>
        <v>0</v>
      </c>
      <c r="G809">
        <f>'PSP Data'!G812</f>
        <v>0</v>
      </c>
      <c r="H809">
        <f>'PSP Data'!H812</f>
        <v>0</v>
      </c>
      <c r="I809">
        <f>'PSP Data'!I812</f>
        <v>0</v>
      </c>
      <c r="J809" s="29" t="e">
        <f t="shared" si="60"/>
        <v>#N/A</v>
      </c>
      <c r="K809" s="29" t="e">
        <f>IF(AND((A809&lt;'PSP Data'!$C$11),(A809&lt;&gt;0)),Analysis!C809,#N/A)</f>
        <v>#N/A</v>
      </c>
      <c r="L809" t="e">
        <f>IF(VLOOKUP(B809,Table1[],4)=0,"unknown", VLOOKUP(B809,Table1[],4))</f>
        <v>#N/A</v>
      </c>
      <c r="M809">
        <v>1</v>
      </c>
      <c r="N809" t="e">
        <f t="shared" si="61"/>
        <v>#N/A</v>
      </c>
      <c r="O809" t="str">
        <f t="shared" si="62"/>
        <v/>
      </c>
      <c r="P809" t="str">
        <f t="shared" si="63"/>
        <v/>
      </c>
      <c r="Q809" t="str">
        <f t="shared" si="64"/>
        <v/>
      </c>
      <c r="R809">
        <v>1</v>
      </c>
    </row>
    <row r="810" spans="1:18">
      <c r="A810">
        <f>'PSP Data'!A813</f>
        <v>0</v>
      </c>
      <c r="B810" t="str">
        <f>IF('PSP Data'!B813=0,"",'PSP Data'!B813)</f>
        <v/>
      </c>
      <c r="C810">
        <f>'PSP Data'!C813</f>
        <v>0</v>
      </c>
      <c r="D810">
        <f>'PSP Data'!D813</f>
        <v>0</v>
      </c>
      <c r="E810">
        <f>'PSP Data'!E813</f>
        <v>0</v>
      </c>
      <c r="F810">
        <f>'PSP Data'!F813</f>
        <v>0</v>
      </c>
      <c r="G810">
        <f>'PSP Data'!G813</f>
        <v>0</v>
      </c>
      <c r="H810">
        <f>'PSP Data'!H813</f>
        <v>0</v>
      </c>
      <c r="I810">
        <f>'PSP Data'!I813</f>
        <v>0</v>
      </c>
      <c r="J810" s="29" t="e">
        <f t="shared" si="60"/>
        <v>#N/A</v>
      </c>
      <c r="K810" s="29" t="e">
        <f>IF(AND((A810&lt;'PSP Data'!$C$11),(A810&lt;&gt;0)),Analysis!C810,#N/A)</f>
        <v>#N/A</v>
      </c>
      <c r="L810" t="e">
        <f>IF(VLOOKUP(B810,Table1[],4)=0,"unknown", VLOOKUP(B810,Table1[],4))</f>
        <v>#N/A</v>
      </c>
      <c r="M810">
        <v>1</v>
      </c>
      <c r="N810" t="e">
        <f t="shared" si="61"/>
        <v>#N/A</v>
      </c>
      <c r="O810" t="str">
        <f t="shared" si="62"/>
        <v/>
      </c>
      <c r="P810" t="str">
        <f t="shared" si="63"/>
        <v/>
      </c>
      <c r="Q810" t="str">
        <f t="shared" si="64"/>
        <v/>
      </c>
      <c r="R810">
        <v>1</v>
      </c>
    </row>
    <row r="811" spans="1:18">
      <c r="A811">
        <f>'PSP Data'!A814</f>
        <v>0</v>
      </c>
      <c r="B811" t="str">
        <f>IF('PSP Data'!B814=0,"",'PSP Data'!B814)</f>
        <v/>
      </c>
      <c r="C811">
        <f>'PSP Data'!C814</f>
        <v>0</v>
      </c>
      <c r="D811">
        <f>'PSP Data'!D814</f>
        <v>0</v>
      </c>
      <c r="E811">
        <f>'PSP Data'!E814</f>
        <v>0</v>
      </c>
      <c r="F811">
        <f>'PSP Data'!F814</f>
        <v>0</v>
      </c>
      <c r="G811">
        <f>'PSP Data'!G814</f>
        <v>0</v>
      </c>
      <c r="H811">
        <f>'PSP Data'!H814</f>
        <v>0</v>
      </c>
      <c r="I811">
        <f>'PSP Data'!I814</f>
        <v>0</v>
      </c>
      <c r="J811" s="29" t="e">
        <f t="shared" si="60"/>
        <v>#N/A</v>
      </c>
      <c r="K811" s="29" t="e">
        <f>IF(AND((A811&lt;'PSP Data'!$C$11),(A811&lt;&gt;0)),Analysis!C811,#N/A)</f>
        <v>#N/A</v>
      </c>
      <c r="L811" t="e">
        <f>IF(VLOOKUP(B811,Table1[],4)=0,"unknown", VLOOKUP(B811,Table1[],4))</f>
        <v>#N/A</v>
      </c>
      <c r="M811">
        <v>1</v>
      </c>
      <c r="N811" t="e">
        <f t="shared" si="61"/>
        <v>#N/A</v>
      </c>
      <c r="O811" t="str">
        <f t="shared" si="62"/>
        <v/>
      </c>
      <c r="P811" t="str">
        <f t="shared" si="63"/>
        <v/>
      </c>
      <c r="Q811" t="str">
        <f t="shared" si="64"/>
        <v/>
      </c>
      <c r="R811">
        <v>1</v>
      </c>
    </row>
    <row r="812" spans="1:18">
      <c r="A812">
        <f>'PSP Data'!A815</f>
        <v>0</v>
      </c>
      <c r="B812" t="str">
        <f>IF('PSP Data'!B815=0,"",'PSP Data'!B815)</f>
        <v/>
      </c>
      <c r="C812">
        <f>'PSP Data'!C815</f>
        <v>0</v>
      </c>
      <c r="D812">
        <f>'PSP Data'!D815</f>
        <v>0</v>
      </c>
      <c r="E812">
        <f>'PSP Data'!E815</f>
        <v>0</v>
      </c>
      <c r="F812">
        <f>'PSP Data'!F815</f>
        <v>0</v>
      </c>
      <c r="G812">
        <f>'PSP Data'!G815</f>
        <v>0</v>
      </c>
      <c r="H812">
        <f>'PSP Data'!H815</f>
        <v>0</v>
      </c>
      <c r="I812">
        <f>'PSP Data'!I815</f>
        <v>0</v>
      </c>
      <c r="J812" s="29" t="e">
        <f t="shared" si="60"/>
        <v>#N/A</v>
      </c>
      <c r="K812" s="29" t="e">
        <f>IF(AND((A812&lt;'PSP Data'!$C$11),(A812&lt;&gt;0)),Analysis!C812,#N/A)</f>
        <v>#N/A</v>
      </c>
      <c r="L812" t="e">
        <f>IF(VLOOKUP(B812,Table1[],4)=0,"unknown", VLOOKUP(B812,Table1[],4))</f>
        <v>#N/A</v>
      </c>
      <c r="M812">
        <v>1</v>
      </c>
      <c r="N812" t="e">
        <f t="shared" si="61"/>
        <v>#N/A</v>
      </c>
      <c r="O812" t="str">
        <f t="shared" si="62"/>
        <v/>
      </c>
      <c r="P812" t="str">
        <f t="shared" si="63"/>
        <v/>
      </c>
      <c r="Q812" t="str">
        <f t="shared" si="64"/>
        <v/>
      </c>
      <c r="R812">
        <v>1</v>
      </c>
    </row>
    <row r="813" spans="1:18">
      <c r="A813">
        <f>'PSP Data'!A816</f>
        <v>0</v>
      </c>
      <c r="B813" t="str">
        <f>IF('PSP Data'!B816=0,"",'PSP Data'!B816)</f>
        <v/>
      </c>
      <c r="C813">
        <f>'PSP Data'!C816</f>
        <v>0</v>
      </c>
      <c r="D813">
        <f>'PSP Data'!D816</f>
        <v>0</v>
      </c>
      <c r="E813">
        <f>'PSP Data'!E816</f>
        <v>0</v>
      </c>
      <c r="F813">
        <f>'PSP Data'!F816</f>
        <v>0</v>
      </c>
      <c r="G813">
        <f>'PSP Data'!G816</f>
        <v>0</v>
      </c>
      <c r="H813">
        <f>'PSP Data'!H816</f>
        <v>0</v>
      </c>
      <c r="I813">
        <f>'PSP Data'!I816</f>
        <v>0</v>
      </c>
      <c r="J813" s="29" t="e">
        <f t="shared" si="60"/>
        <v>#N/A</v>
      </c>
      <c r="K813" s="29" t="e">
        <f>IF(AND((A813&lt;'PSP Data'!$C$11),(A813&lt;&gt;0)),Analysis!C813,#N/A)</f>
        <v>#N/A</v>
      </c>
      <c r="L813" t="e">
        <f>IF(VLOOKUP(B813,Table1[],4)=0,"unknown", VLOOKUP(B813,Table1[],4))</f>
        <v>#N/A</v>
      </c>
      <c r="M813">
        <v>1</v>
      </c>
      <c r="N813" t="e">
        <f t="shared" si="61"/>
        <v>#N/A</v>
      </c>
      <c r="O813" t="str">
        <f t="shared" si="62"/>
        <v/>
      </c>
      <c r="P813" t="str">
        <f t="shared" si="63"/>
        <v/>
      </c>
      <c r="Q813" t="str">
        <f t="shared" si="64"/>
        <v/>
      </c>
      <c r="R813">
        <v>1</v>
      </c>
    </row>
    <row r="814" spans="1:18">
      <c r="A814">
        <f>'PSP Data'!A817</f>
        <v>0</v>
      </c>
      <c r="B814" t="str">
        <f>IF('PSP Data'!B817=0,"",'PSP Data'!B817)</f>
        <v/>
      </c>
      <c r="C814">
        <f>'PSP Data'!C817</f>
        <v>0</v>
      </c>
      <c r="D814">
        <f>'PSP Data'!D817</f>
        <v>0</v>
      </c>
      <c r="E814">
        <f>'PSP Data'!E817</f>
        <v>0</v>
      </c>
      <c r="F814">
        <f>'PSP Data'!F817</f>
        <v>0</v>
      </c>
      <c r="G814">
        <f>'PSP Data'!G817</f>
        <v>0</v>
      </c>
      <c r="H814">
        <f>'PSP Data'!H817</f>
        <v>0</v>
      </c>
      <c r="I814">
        <f>'PSP Data'!I817</f>
        <v>0</v>
      </c>
      <c r="J814" s="29" t="e">
        <f t="shared" si="60"/>
        <v>#N/A</v>
      </c>
      <c r="K814" s="29" t="e">
        <f>IF(AND((A814&lt;'PSP Data'!$C$11),(A814&lt;&gt;0)),Analysis!C814,#N/A)</f>
        <v>#N/A</v>
      </c>
      <c r="L814" t="e">
        <f>IF(VLOOKUP(B814,Table1[],4)=0,"unknown", VLOOKUP(B814,Table1[],4))</f>
        <v>#N/A</v>
      </c>
      <c r="M814">
        <v>1</v>
      </c>
      <c r="N814" t="e">
        <f t="shared" si="61"/>
        <v>#N/A</v>
      </c>
      <c r="O814" t="str">
        <f t="shared" si="62"/>
        <v/>
      </c>
      <c r="P814" t="str">
        <f t="shared" si="63"/>
        <v/>
      </c>
      <c r="Q814" t="str">
        <f t="shared" si="64"/>
        <v/>
      </c>
      <c r="R814">
        <v>1</v>
      </c>
    </row>
    <row r="815" spans="1:18">
      <c r="A815">
        <f>'PSP Data'!A818</f>
        <v>0</v>
      </c>
      <c r="B815" t="str">
        <f>IF('PSP Data'!B818=0,"",'PSP Data'!B818)</f>
        <v/>
      </c>
      <c r="C815">
        <f>'PSP Data'!C818</f>
        <v>0</v>
      </c>
      <c r="D815">
        <f>'PSP Data'!D818</f>
        <v>0</v>
      </c>
      <c r="E815">
        <f>'PSP Data'!E818</f>
        <v>0</v>
      </c>
      <c r="F815">
        <f>'PSP Data'!F818</f>
        <v>0</v>
      </c>
      <c r="G815">
        <f>'PSP Data'!G818</f>
        <v>0</v>
      </c>
      <c r="H815">
        <f>'PSP Data'!H818</f>
        <v>0</v>
      </c>
      <c r="I815">
        <f>'PSP Data'!I818</f>
        <v>0</v>
      </c>
      <c r="J815" s="29" t="e">
        <f t="shared" si="60"/>
        <v>#N/A</v>
      </c>
      <c r="K815" s="29" t="e">
        <f>IF(AND((A815&lt;'PSP Data'!$C$11),(A815&lt;&gt;0)),Analysis!C815,#N/A)</f>
        <v>#N/A</v>
      </c>
      <c r="L815" t="e">
        <f>IF(VLOOKUP(B815,Table1[],4)=0,"unknown", VLOOKUP(B815,Table1[],4))</f>
        <v>#N/A</v>
      </c>
      <c r="M815">
        <v>1</v>
      </c>
      <c r="N815" t="e">
        <f t="shared" si="61"/>
        <v>#N/A</v>
      </c>
      <c r="O815" t="str">
        <f t="shared" si="62"/>
        <v/>
      </c>
      <c r="P815" t="str">
        <f t="shared" si="63"/>
        <v/>
      </c>
      <c r="Q815" t="str">
        <f t="shared" si="64"/>
        <v/>
      </c>
      <c r="R815">
        <v>1</v>
      </c>
    </row>
    <row r="816" spans="1:18">
      <c r="A816">
        <f>'PSP Data'!A819</f>
        <v>0</v>
      </c>
      <c r="B816" t="str">
        <f>IF('PSP Data'!B819=0,"",'PSP Data'!B819)</f>
        <v/>
      </c>
      <c r="C816">
        <f>'PSP Data'!C819</f>
        <v>0</v>
      </c>
      <c r="D816">
        <f>'PSP Data'!D819</f>
        <v>0</v>
      </c>
      <c r="E816">
        <f>'PSP Data'!E819</f>
        <v>0</v>
      </c>
      <c r="F816">
        <f>'PSP Data'!F819</f>
        <v>0</v>
      </c>
      <c r="G816">
        <f>'PSP Data'!G819</f>
        <v>0</v>
      </c>
      <c r="H816">
        <f>'PSP Data'!H819</f>
        <v>0</v>
      </c>
      <c r="I816">
        <f>'PSP Data'!I819</f>
        <v>0</v>
      </c>
      <c r="J816" s="29" t="e">
        <f t="shared" si="60"/>
        <v>#N/A</v>
      </c>
      <c r="K816" s="29" t="e">
        <f>IF(AND((A816&lt;'PSP Data'!$C$11),(A816&lt;&gt;0)),Analysis!C816,#N/A)</f>
        <v>#N/A</v>
      </c>
      <c r="L816" t="e">
        <f>IF(VLOOKUP(B816,Table1[],4)=0,"unknown", VLOOKUP(B816,Table1[],4))</f>
        <v>#N/A</v>
      </c>
      <c r="M816">
        <v>1</v>
      </c>
      <c r="N816" t="e">
        <f t="shared" si="61"/>
        <v>#N/A</v>
      </c>
      <c r="O816" t="str">
        <f t="shared" si="62"/>
        <v/>
      </c>
      <c r="P816" t="str">
        <f t="shared" si="63"/>
        <v/>
      </c>
      <c r="Q816" t="str">
        <f t="shared" si="64"/>
        <v/>
      </c>
      <c r="R816">
        <v>1</v>
      </c>
    </row>
    <row r="817" spans="1:18">
      <c r="A817">
        <f>'PSP Data'!A820</f>
        <v>0</v>
      </c>
      <c r="B817" t="str">
        <f>IF('PSP Data'!B820=0,"",'PSP Data'!B820)</f>
        <v/>
      </c>
      <c r="C817">
        <f>'PSP Data'!C820</f>
        <v>0</v>
      </c>
      <c r="D817">
        <f>'PSP Data'!D820</f>
        <v>0</v>
      </c>
      <c r="E817">
        <f>'PSP Data'!E820</f>
        <v>0</v>
      </c>
      <c r="F817">
        <f>'PSP Data'!F820</f>
        <v>0</v>
      </c>
      <c r="G817">
        <f>'PSP Data'!G820</f>
        <v>0</v>
      </c>
      <c r="H817">
        <f>'PSP Data'!H820</f>
        <v>0</v>
      </c>
      <c r="I817">
        <f>'PSP Data'!I820</f>
        <v>0</v>
      </c>
      <c r="J817" s="29" t="e">
        <f t="shared" si="60"/>
        <v>#N/A</v>
      </c>
      <c r="K817" s="29" t="e">
        <f>IF(AND((A817&lt;'PSP Data'!$C$11),(A817&lt;&gt;0)),Analysis!C817,#N/A)</f>
        <v>#N/A</v>
      </c>
      <c r="L817" t="e">
        <f>IF(VLOOKUP(B817,Table1[],4)=0,"unknown", VLOOKUP(B817,Table1[],4))</f>
        <v>#N/A</v>
      </c>
      <c r="M817">
        <v>1</v>
      </c>
      <c r="N817" t="e">
        <f t="shared" si="61"/>
        <v>#N/A</v>
      </c>
      <c r="O817" t="str">
        <f t="shared" si="62"/>
        <v/>
      </c>
      <c r="P817" t="str">
        <f t="shared" si="63"/>
        <v/>
      </c>
      <c r="Q817" t="str">
        <f t="shared" si="64"/>
        <v/>
      </c>
      <c r="R817">
        <v>1</v>
      </c>
    </row>
    <row r="818" spans="1:18">
      <c r="A818">
        <f>'PSP Data'!A821</f>
        <v>0</v>
      </c>
      <c r="B818" t="str">
        <f>IF('PSP Data'!B821=0,"",'PSP Data'!B821)</f>
        <v/>
      </c>
      <c r="C818">
        <f>'PSP Data'!C821</f>
        <v>0</v>
      </c>
      <c r="D818">
        <f>'PSP Data'!D821</f>
        <v>0</v>
      </c>
      <c r="E818">
        <f>'PSP Data'!E821</f>
        <v>0</v>
      </c>
      <c r="F818">
        <f>'PSP Data'!F821</f>
        <v>0</v>
      </c>
      <c r="G818">
        <f>'PSP Data'!G821</f>
        <v>0</v>
      </c>
      <c r="H818">
        <f>'PSP Data'!H821</f>
        <v>0</v>
      </c>
      <c r="I818">
        <f>'PSP Data'!I821</f>
        <v>0</v>
      </c>
      <c r="J818" s="29" t="e">
        <f t="shared" si="60"/>
        <v>#N/A</v>
      </c>
      <c r="K818" s="29" t="e">
        <f>IF(AND((A818&lt;'PSP Data'!$C$11),(A818&lt;&gt;0)),Analysis!C818,#N/A)</f>
        <v>#N/A</v>
      </c>
      <c r="L818" t="e">
        <f>IF(VLOOKUP(B818,Table1[],4)=0,"unknown", VLOOKUP(B818,Table1[],4))</f>
        <v>#N/A</v>
      </c>
      <c r="M818">
        <v>1</v>
      </c>
      <c r="N818" t="e">
        <f t="shared" si="61"/>
        <v>#N/A</v>
      </c>
      <c r="O818" t="str">
        <f t="shared" si="62"/>
        <v/>
      </c>
      <c r="P818" t="str">
        <f t="shared" si="63"/>
        <v/>
      </c>
      <c r="Q818" t="str">
        <f t="shared" si="64"/>
        <v/>
      </c>
      <c r="R818">
        <v>1</v>
      </c>
    </row>
    <row r="819" spans="1:18">
      <c r="A819">
        <f>'PSP Data'!A822</f>
        <v>0</v>
      </c>
      <c r="B819" t="str">
        <f>IF('PSP Data'!B822=0,"",'PSP Data'!B822)</f>
        <v/>
      </c>
      <c r="C819">
        <f>'PSP Data'!C822</f>
        <v>0</v>
      </c>
      <c r="D819">
        <f>'PSP Data'!D822</f>
        <v>0</v>
      </c>
      <c r="E819">
        <f>'PSP Data'!E822</f>
        <v>0</v>
      </c>
      <c r="F819">
        <f>'PSP Data'!F822</f>
        <v>0</v>
      </c>
      <c r="G819">
        <f>'PSP Data'!G822</f>
        <v>0</v>
      </c>
      <c r="H819">
        <f>'PSP Data'!H822</f>
        <v>0</v>
      </c>
      <c r="I819">
        <f>'PSP Data'!I822</f>
        <v>0</v>
      </c>
      <c r="J819" s="29" t="e">
        <f t="shared" si="60"/>
        <v>#N/A</v>
      </c>
      <c r="K819" s="29" t="e">
        <f>IF(AND((A819&lt;'PSP Data'!$C$11),(A819&lt;&gt;0)),Analysis!C819,#N/A)</f>
        <v>#N/A</v>
      </c>
      <c r="L819" t="e">
        <f>IF(VLOOKUP(B819,Table1[],4)=0,"unknown", VLOOKUP(B819,Table1[],4))</f>
        <v>#N/A</v>
      </c>
      <c r="M819">
        <v>1</v>
      </c>
      <c r="N819" t="e">
        <f t="shared" si="61"/>
        <v>#N/A</v>
      </c>
      <c r="O819" t="str">
        <f t="shared" si="62"/>
        <v/>
      </c>
      <c r="P819" t="str">
        <f t="shared" si="63"/>
        <v/>
      </c>
      <c r="Q819" t="str">
        <f t="shared" si="64"/>
        <v/>
      </c>
      <c r="R819">
        <v>1</v>
      </c>
    </row>
    <row r="820" spans="1:18">
      <c r="A820">
        <f>'PSP Data'!A823</f>
        <v>0</v>
      </c>
      <c r="B820" t="str">
        <f>IF('PSP Data'!B823=0,"",'PSP Data'!B823)</f>
        <v/>
      </c>
      <c r="C820">
        <f>'PSP Data'!C823</f>
        <v>0</v>
      </c>
      <c r="D820">
        <f>'PSP Data'!D823</f>
        <v>0</v>
      </c>
      <c r="E820">
        <f>'PSP Data'!E823</f>
        <v>0</v>
      </c>
      <c r="F820">
        <f>'PSP Data'!F823</f>
        <v>0</v>
      </c>
      <c r="G820">
        <f>'PSP Data'!G823</f>
        <v>0</v>
      </c>
      <c r="H820">
        <f>'PSP Data'!H823</f>
        <v>0</v>
      </c>
      <c r="I820">
        <f>'PSP Data'!I823</f>
        <v>0</v>
      </c>
      <c r="J820" s="29" t="e">
        <f t="shared" si="60"/>
        <v>#N/A</v>
      </c>
      <c r="K820" s="29" t="e">
        <f>IF(AND((A820&lt;'PSP Data'!$C$11),(A820&lt;&gt;0)),Analysis!C820,#N/A)</f>
        <v>#N/A</v>
      </c>
      <c r="L820" t="e">
        <f>IF(VLOOKUP(B820,Table1[],4)=0,"unknown", VLOOKUP(B820,Table1[],4))</f>
        <v>#N/A</v>
      </c>
      <c r="M820">
        <v>1</v>
      </c>
      <c r="N820" t="e">
        <f t="shared" si="61"/>
        <v>#N/A</v>
      </c>
      <c r="O820" t="str">
        <f t="shared" si="62"/>
        <v/>
      </c>
      <c r="P820" t="str">
        <f t="shared" si="63"/>
        <v/>
      </c>
      <c r="Q820" t="str">
        <f t="shared" si="64"/>
        <v/>
      </c>
      <c r="R820">
        <v>1</v>
      </c>
    </row>
    <row r="821" spans="1:18">
      <c r="A821">
        <f>'PSP Data'!A824</f>
        <v>0</v>
      </c>
      <c r="B821" t="str">
        <f>IF('PSP Data'!B824=0,"",'PSP Data'!B824)</f>
        <v/>
      </c>
      <c r="C821">
        <f>'PSP Data'!C824</f>
        <v>0</v>
      </c>
      <c r="D821">
        <f>'PSP Data'!D824</f>
        <v>0</v>
      </c>
      <c r="E821">
        <f>'PSP Data'!E824</f>
        <v>0</v>
      </c>
      <c r="F821">
        <f>'PSP Data'!F824</f>
        <v>0</v>
      </c>
      <c r="G821">
        <f>'PSP Data'!G824</f>
        <v>0</v>
      </c>
      <c r="H821">
        <f>'PSP Data'!H824</f>
        <v>0</v>
      </c>
      <c r="I821">
        <f>'PSP Data'!I824</f>
        <v>0</v>
      </c>
      <c r="J821" s="29" t="e">
        <f t="shared" si="60"/>
        <v>#N/A</v>
      </c>
      <c r="K821" s="29" t="e">
        <f>IF(AND((A821&lt;'PSP Data'!$C$11),(A821&lt;&gt;0)),Analysis!C821,#N/A)</f>
        <v>#N/A</v>
      </c>
      <c r="L821" t="e">
        <f>IF(VLOOKUP(B821,Table1[],4)=0,"unknown", VLOOKUP(B821,Table1[],4))</f>
        <v>#N/A</v>
      </c>
      <c r="M821">
        <v>1</v>
      </c>
      <c r="N821" t="e">
        <f t="shared" si="61"/>
        <v>#N/A</v>
      </c>
      <c r="O821" t="str">
        <f t="shared" si="62"/>
        <v/>
      </c>
      <c r="P821" t="str">
        <f t="shared" si="63"/>
        <v/>
      </c>
      <c r="Q821" t="str">
        <f t="shared" si="64"/>
        <v/>
      </c>
      <c r="R821">
        <v>1</v>
      </c>
    </row>
    <row r="822" spans="1:18">
      <c r="A822">
        <f>'PSP Data'!A825</f>
        <v>0</v>
      </c>
      <c r="B822" t="str">
        <f>IF('PSP Data'!B825=0,"",'PSP Data'!B825)</f>
        <v/>
      </c>
      <c r="C822">
        <f>'PSP Data'!C825</f>
        <v>0</v>
      </c>
      <c r="D822">
        <f>'PSP Data'!D825</f>
        <v>0</v>
      </c>
      <c r="E822">
        <f>'PSP Data'!E825</f>
        <v>0</v>
      </c>
      <c r="F822">
        <f>'PSP Data'!F825</f>
        <v>0</v>
      </c>
      <c r="G822">
        <f>'PSP Data'!G825</f>
        <v>0</v>
      </c>
      <c r="H822">
        <f>'PSP Data'!H825</f>
        <v>0</v>
      </c>
      <c r="I822">
        <f>'PSP Data'!I825</f>
        <v>0</v>
      </c>
      <c r="J822" s="29" t="e">
        <f t="shared" si="60"/>
        <v>#N/A</v>
      </c>
      <c r="K822" s="29" t="e">
        <f>IF(AND((A822&lt;'PSP Data'!$C$11),(A822&lt;&gt;0)),Analysis!C822,#N/A)</f>
        <v>#N/A</v>
      </c>
      <c r="L822" t="e">
        <f>IF(VLOOKUP(B822,Table1[],4)=0,"unknown", VLOOKUP(B822,Table1[],4))</f>
        <v>#N/A</v>
      </c>
      <c r="M822">
        <v>1</v>
      </c>
      <c r="N822" t="e">
        <f t="shared" si="61"/>
        <v>#N/A</v>
      </c>
      <c r="O822" t="str">
        <f t="shared" si="62"/>
        <v/>
      </c>
      <c r="P822" t="str">
        <f t="shared" si="63"/>
        <v/>
      </c>
      <c r="Q822" t="str">
        <f t="shared" si="64"/>
        <v/>
      </c>
      <c r="R822">
        <v>1</v>
      </c>
    </row>
    <row r="823" spans="1:18">
      <c r="A823">
        <f>'PSP Data'!A826</f>
        <v>0</v>
      </c>
      <c r="B823" t="str">
        <f>IF('PSP Data'!B826=0,"",'PSP Data'!B826)</f>
        <v/>
      </c>
      <c r="C823">
        <f>'PSP Data'!C826</f>
        <v>0</v>
      </c>
      <c r="D823">
        <f>'PSP Data'!D826</f>
        <v>0</v>
      </c>
      <c r="E823">
        <f>'PSP Data'!E826</f>
        <v>0</v>
      </c>
      <c r="F823">
        <f>'PSP Data'!F826</f>
        <v>0</v>
      </c>
      <c r="G823">
        <f>'PSP Data'!G826</f>
        <v>0</v>
      </c>
      <c r="H823">
        <f>'PSP Data'!H826</f>
        <v>0</v>
      </c>
      <c r="I823">
        <f>'PSP Data'!I826</f>
        <v>0</v>
      </c>
      <c r="J823" s="29" t="e">
        <f t="shared" si="60"/>
        <v>#N/A</v>
      </c>
      <c r="K823" s="29" t="e">
        <f>IF(AND((A823&lt;'PSP Data'!$C$11),(A823&lt;&gt;0)),Analysis!C823,#N/A)</f>
        <v>#N/A</v>
      </c>
      <c r="L823" t="e">
        <f>IF(VLOOKUP(B823,Table1[],4)=0,"unknown", VLOOKUP(B823,Table1[],4))</f>
        <v>#N/A</v>
      </c>
      <c r="M823">
        <v>1</v>
      </c>
      <c r="N823" t="e">
        <f t="shared" si="61"/>
        <v>#N/A</v>
      </c>
      <c r="O823" t="str">
        <f t="shared" si="62"/>
        <v/>
      </c>
      <c r="P823" t="str">
        <f t="shared" si="63"/>
        <v/>
      </c>
      <c r="Q823" t="str">
        <f t="shared" si="64"/>
        <v/>
      </c>
      <c r="R823">
        <v>1</v>
      </c>
    </row>
    <row r="824" spans="1:18">
      <c r="A824">
        <f>'PSP Data'!A827</f>
        <v>0</v>
      </c>
      <c r="B824" t="str">
        <f>IF('PSP Data'!B827=0,"",'PSP Data'!B827)</f>
        <v/>
      </c>
      <c r="C824">
        <f>'PSP Data'!C827</f>
        <v>0</v>
      </c>
      <c r="D824">
        <f>'PSP Data'!D827</f>
        <v>0</v>
      </c>
      <c r="E824">
        <f>'PSP Data'!E827</f>
        <v>0</v>
      </c>
      <c r="F824">
        <f>'PSP Data'!F827</f>
        <v>0</v>
      </c>
      <c r="G824">
        <f>'PSP Data'!G827</f>
        <v>0</v>
      </c>
      <c r="H824">
        <f>'PSP Data'!H827</f>
        <v>0</v>
      </c>
      <c r="I824">
        <f>'PSP Data'!I827</f>
        <v>0</v>
      </c>
      <c r="J824" s="29" t="e">
        <f t="shared" si="60"/>
        <v>#N/A</v>
      </c>
      <c r="K824" s="29" t="e">
        <f>IF(AND((A824&lt;'PSP Data'!$C$11),(A824&lt;&gt;0)),Analysis!C824,#N/A)</f>
        <v>#N/A</v>
      </c>
      <c r="L824" t="e">
        <f>IF(VLOOKUP(B824,Table1[],4)=0,"unknown", VLOOKUP(B824,Table1[],4))</f>
        <v>#N/A</v>
      </c>
      <c r="M824">
        <v>1</v>
      </c>
      <c r="N824" t="e">
        <f t="shared" si="61"/>
        <v>#N/A</v>
      </c>
      <c r="O824" t="str">
        <f t="shared" si="62"/>
        <v/>
      </c>
      <c r="P824" t="str">
        <f t="shared" si="63"/>
        <v/>
      </c>
      <c r="Q824" t="str">
        <f t="shared" si="64"/>
        <v/>
      </c>
      <c r="R824">
        <v>1</v>
      </c>
    </row>
    <row r="825" spans="1:18">
      <c r="A825">
        <f>'PSP Data'!A828</f>
        <v>0</v>
      </c>
      <c r="B825" t="str">
        <f>IF('PSP Data'!B828=0,"",'PSP Data'!B828)</f>
        <v/>
      </c>
      <c r="C825">
        <f>'PSP Data'!C828</f>
        <v>0</v>
      </c>
      <c r="D825">
        <f>'PSP Data'!D828</f>
        <v>0</v>
      </c>
      <c r="E825">
        <f>'PSP Data'!E828</f>
        <v>0</v>
      </c>
      <c r="F825">
        <f>'PSP Data'!F828</f>
        <v>0</v>
      </c>
      <c r="G825">
        <f>'PSP Data'!G828</f>
        <v>0</v>
      </c>
      <c r="H825">
        <f>'PSP Data'!H828</f>
        <v>0</v>
      </c>
      <c r="I825">
        <f>'PSP Data'!I828</f>
        <v>0</v>
      </c>
      <c r="J825" s="29" t="e">
        <f t="shared" si="60"/>
        <v>#N/A</v>
      </c>
      <c r="K825" s="29" t="e">
        <f>IF(AND((A825&lt;'PSP Data'!$C$11),(A825&lt;&gt;0)),Analysis!C825,#N/A)</f>
        <v>#N/A</v>
      </c>
      <c r="L825" t="e">
        <f>IF(VLOOKUP(B825,Table1[],4)=0,"unknown", VLOOKUP(B825,Table1[],4))</f>
        <v>#N/A</v>
      </c>
      <c r="M825">
        <v>1</v>
      </c>
      <c r="N825" t="e">
        <f t="shared" si="61"/>
        <v>#N/A</v>
      </c>
      <c r="O825" t="str">
        <f t="shared" si="62"/>
        <v/>
      </c>
      <c r="P825" t="str">
        <f t="shared" si="63"/>
        <v/>
      </c>
      <c r="Q825" t="str">
        <f t="shared" si="64"/>
        <v/>
      </c>
      <c r="R825">
        <v>1</v>
      </c>
    </row>
    <row r="826" spans="1:18">
      <c r="A826">
        <f>'PSP Data'!A829</f>
        <v>0</v>
      </c>
      <c r="B826" t="str">
        <f>IF('PSP Data'!B829=0,"",'PSP Data'!B829)</f>
        <v/>
      </c>
      <c r="C826">
        <f>'PSP Data'!C829</f>
        <v>0</v>
      </c>
      <c r="D826">
        <f>'PSP Data'!D829</f>
        <v>0</v>
      </c>
      <c r="E826">
        <f>'PSP Data'!E829</f>
        <v>0</v>
      </c>
      <c r="F826">
        <f>'PSP Data'!F829</f>
        <v>0</v>
      </c>
      <c r="G826">
        <f>'PSP Data'!G829</f>
        <v>0</v>
      </c>
      <c r="H826">
        <f>'PSP Data'!H829</f>
        <v>0</v>
      </c>
      <c r="I826">
        <f>'PSP Data'!I829</f>
        <v>0</v>
      </c>
      <c r="J826" s="29" t="e">
        <f t="shared" si="60"/>
        <v>#N/A</v>
      </c>
      <c r="K826" s="29" t="e">
        <f>IF(AND((A826&lt;'PSP Data'!$C$11),(A826&lt;&gt;0)),Analysis!C826,#N/A)</f>
        <v>#N/A</v>
      </c>
      <c r="L826" t="e">
        <f>IF(VLOOKUP(B826,Table1[],4)=0,"unknown", VLOOKUP(B826,Table1[],4))</f>
        <v>#N/A</v>
      </c>
      <c r="M826">
        <v>1</v>
      </c>
      <c r="N826" t="e">
        <f t="shared" si="61"/>
        <v>#N/A</v>
      </c>
      <c r="O826" t="str">
        <f t="shared" si="62"/>
        <v/>
      </c>
      <c r="P826" t="str">
        <f t="shared" si="63"/>
        <v/>
      </c>
      <c r="Q826" t="str">
        <f t="shared" si="64"/>
        <v/>
      </c>
      <c r="R826">
        <v>1</v>
      </c>
    </row>
    <row r="827" spans="1:18">
      <c r="A827">
        <f>'PSP Data'!A830</f>
        <v>0</v>
      </c>
      <c r="B827" t="str">
        <f>IF('PSP Data'!B830=0,"",'PSP Data'!B830)</f>
        <v/>
      </c>
      <c r="C827">
        <f>'PSP Data'!C830</f>
        <v>0</v>
      </c>
      <c r="D827">
        <f>'PSP Data'!D830</f>
        <v>0</v>
      </c>
      <c r="E827">
        <f>'PSP Data'!E830</f>
        <v>0</v>
      </c>
      <c r="F827">
        <f>'PSP Data'!F830</f>
        <v>0</v>
      </c>
      <c r="G827">
        <f>'PSP Data'!G830</f>
        <v>0</v>
      </c>
      <c r="H827">
        <f>'PSP Data'!H830</f>
        <v>0</v>
      </c>
      <c r="I827">
        <f>'PSP Data'!I830</f>
        <v>0</v>
      </c>
      <c r="J827" s="29" t="e">
        <f t="shared" si="60"/>
        <v>#N/A</v>
      </c>
      <c r="K827" s="29" t="e">
        <f>IF(AND((A827&lt;'PSP Data'!$C$11),(A827&lt;&gt;0)),Analysis!C827,#N/A)</f>
        <v>#N/A</v>
      </c>
      <c r="L827" t="e">
        <f>IF(VLOOKUP(B827,Table1[],4)=0,"unknown", VLOOKUP(B827,Table1[],4))</f>
        <v>#N/A</v>
      </c>
      <c r="M827">
        <v>1</v>
      </c>
      <c r="N827" t="e">
        <f t="shared" si="61"/>
        <v>#N/A</v>
      </c>
      <c r="O827" t="str">
        <f t="shared" si="62"/>
        <v/>
      </c>
      <c r="P827" t="str">
        <f t="shared" si="63"/>
        <v/>
      </c>
      <c r="Q827" t="str">
        <f t="shared" si="64"/>
        <v/>
      </c>
      <c r="R827">
        <v>1</v>
      </c>
    </row>
    <row r="828" spans="1:18">
      <c r="A828">
        <f>'PSP Data'!A831</f>
        <v>0</v>
      </c>
      <c r="B828" t="str">
        <f>IF('PSP Data'!B831=0,"",'PSP Data'!B831)</f>
        <v/>
      </c>
      <c r="C828">
        <f>'PSP Data'!C831</f>
        <v>0</v>
      </c>
      <c r="D828">
        <f>'PSP Data'!D831</f>
        <v>0</v>
      </c>
      <c r="E828">
        <f>'PSP Data'!E831</f>
        <v>0</v>
      </c>
      <c r="F828">
        <f>'PSP Data'!F831</f>
        <v>0</v>
      </c>
      <c r="G828">
        <f>'PSP Data'!G831</f>
        <v>0</v>
      </c>
      <c r="H828">
        <f>'PSP Data'!H831</f>
        <v>0</v>
      </c>
      <c r="I828">
        <f>'PSP Data'!I831</f>
        <v>0</v>
      </c>
      <c r="J828" s="29" t="e">
        <f t="shared" si="60"/>
        <v>#N/A</v>
      </c>
      <c r="K828" s="29" t="e">
        <f>IF(AND((A828&lt;'PSP Data'!$C$11),(A828&lt;&gt;0)),Analysis!C828,#N/A)</f>
        <v>#N/A</v>
      </c>
      <c r="L828" t="e">
        <f>IF(VLOOKUP(B828,Table1[],4)=0,"unknown", VLOOKUP(B828,Table1[],4))</f>
        <v>#N/A</v>
      </c>
      <c r="M828">
        <v>1</v>
      </c>
      <c r="N828" t="e">
        <f t="shared" si="61"/>
        <v>#N/A</v>
      </c>
      <c r="O828" t="str">
        <f t="shared" si="62"/>
        <v/>
      </c>
      <c r="P828" t="str">
        <f t="shared" si="63"/>
        <v/>
      </c>
      <c r="Q828" t="str">
        <f t="shared" si="64"/>
        <v/>
      </c>
      <c r="R828">
        <v>1</v>
      </c>
    </row>
    <row r="829" spans="1:18">
      <c r="A829">
        <f>'PSP Data'!A832</f>
        <v>0</v>
      </c>
      <c r="B829" t="str">
        <f>IF('PSP Data'!B832=0,"",'PSP Data'!B832)</f>
        <v/>
      </c>
      <c r="C829">
        <f>'PSP Data'!C832</f>
        <v>0</v>
      </c>
      <c r="D829">
        <f>'PSP Data'!D832</f>
        <v>0</v>
      </c>
      <c r="E829">
        <f>'PSP Data'!E832</f>
        <v>0</v>
      </c>
      <c r="F829">
        <f>'PSP Data'!F832</f>
        <v>0</v>
      </c>
      <c r="G829">
        <f>'PSP Data'!G832</f>
        <v>0</v>
      </c>
      <c r="H829">
        <f>'PSP Data'!H832</f>
        <v>0</v>
      </c>
      <c r="I829">
        <f>'PSP Data'!I832</f>
        <v>0</v>
      </c>
      <c r="J829" s="29" t="e">
        <f t="shared" si="60"/>
        <v>#N/A</v>
      </c>
      <c r="K829" s="29" t="e">
        <f>IF(AND((A829&lt;'PSP Data'!$C$11),(A829&lt;&gt;0)),Analysis!C829,#N/A)</f>
        <v>#N/A</v>
      </c>
      <c r="L829" t="e">
        <f>IF(VLOOKUP(B829,Table1[],4)=0,"unknown", VLOOKUP(B829,Table1[],4))</f>
        <v>#N/A</v>
      </c>
      <c r="M829">
        <v>1</v>
      </c>
      <c r="N829" t="e">
        <f t="shared" si="61"/>
        <v>#N/A</v>
      </c>
      <c r="O829" t="str">
        <f t="shared" si="62"/>
        <v/>
      </c>
      <c r="P829" t="str">
        <f t="shared" si="63"/>
        <v/>
      </c>
      <c r="Q829" t="str">
        <f t="shared" si="64"/>
        <v/>
      </c>
      <c r="R829">
        <v>1</v>
      </c>
    </row>
    <row r="830" spans="1:18">
      <c r="A830">
        <f>'PSP Data'!A833</f>
        <v>0</v>
      </c>
      <c r="B830" t="str">
        <f>IF('PSP Data'!B833=0,"",'PSP Data'!B833)</f>
        <v/>
      </c>
      <c r="C830">
        <f>'PSP Data'!C833</f>
        <v>0</v>
      </c>
      <c r="D830">
        <f>'PSP Data'!D833</f>
        <v>0</v>
      </c>
      <c r="E830">
        <f>'PSP Data'!E833</f>
        <v>0</v>
      </c>
      <c r="F830">
        <f>'PSP Data'!F833</f>
        <v>0</v>
      </c>
      <c r="G830">
        <f>'PSP Data'!G833</f>
        <v>0</v>
      </c>
      <c r="H830">
        <f>'PSP Data'!H833</f>
        <v>0</v>
      </c>
      <c r="I830">
        <f>'PSP Data'!I833</f>
        <v>0</v>
      </c>
      <c r="J830" s="29" t="e">
        <f t="shared" si="60"/>
        <v>#N/A</v>
      </c>
      <c r="K830" s="29" t="e">
        <f>IF(AND((A830&lt;'PSP Data'!$C$11),(A830&lt;&gt;0)),Analysis!C830,#N/A)</f>
        <v>#N/A</v>
      </c>
      <c r="L830" t="e">
        <f>IF(VLOOKUP(B830,Table1[],4)=0,"unknown", VLOOKUP(B830,Table1[],4))</f>
        <v>#N/A</v>
      </c>
      <c r="M830">
        <v>1</v>
      </c>
      <c r="N830" t="e">
        <f t="shared" si="61"/>
        <v>#N/A</v>
      </c>
      <c r="O830" t="str">
        <f t="shared" si="62"/>
        <v/>
      </c>
      <c r="P830" t="str">
        <f t="shared" si="63"/>
        <v/>
      </c>
      <c r="Q830" t="str">
        <f t="shared" si="64"/>
        <v/>
      </c>
      <c r="R830">
        <v>1</v>
      </c>
    </row>
    <row r="831" spans="1:18">
      <c r="A831">
        <f>'PSP Data'!A834</f>
        <v>0</v>
      </c>
      <c r="B831" t="str">
        <f>IF('PSP Data'!B834=0,"",'PSP Data'!B834)</f>
        <v/>
      </c>
      <c r="C831">
        <f>'PSP Data'!C834</f>
        <v>0</v>
      </c>
      <c r="D831">
        <f>'PSP Data'!D834</f>
        <v>0</v>
      </c>
      <c r="E831">
        <f>'PSP Data'!E834</f>
        <v>0</v>
      </c>
      <c r="F831">
        <f>'PSP Data'!F834</f>
        <v>0</v>
      </c>
      <c r="G831">
        <f>'PSP Data'!G834</f>
        <v>0</v>
      </c>
      <c r="H831">
        <f>'PSP Data'!H834</f>
        <v>0</v>
      </c>
      <c r="I831">
        <f>'PSP Data'!I834</f>
        <v>0</v>
      </c>
      <c r="J831" s="29" t="e">
        <f t="shared" si="60"/>
        <v>#N/A</v>
      </c>
      <c r="K831" s="29" t="e">
        <f>IF(AND((A831&lt;'PSP Data'!$C$11),(A831&lt;&gt;0)),Analysis!C831,#N/A)</f>
        <v>#N/A</v>
      </c>
      <c r="L831" t="e">
        <f>IF(VLOOKUP(B831,Table1[],4)=0,"unknown", VLOOKUP(B831,Table1[],4))</f>
        <v>#N/A</v>
      </c>
      <c r="M831">
        <v>1</v>
      </c>
      <c r="N831" t="e">
        <f t="shared" si="61"/>
        <v>#N/A</v>
      </c>
      <c r="O831" t="str">
        <f t="shared" si="62"/>
        <v/>
      </c>
      <c r="P831" t="str">
        <f t="shared" si="63"/>
        <v/>
      </c>
      <c r="Q831" t="str">
        <f t="shared" si="64"/>
        <v/>
      </c>
      <c r="R831">
        <v>1</v>
      </c>
    </row>
    <row r="832" spans="1:18">
      <c r="A832">
        <f>'PSP Data'!A835</f>
        <v>0</v>
      </c>
      <c r="B832" t="str">
        <f>IF('PSP Data'!B835=0,"",'PSP Data'!B835)</f>
        <v/>
      </c>
      <c r="C832">
        <f>'PSP Data'!C835</f>
        <v>0</v>
      </c>
      <c r="D832">
        <f>'PSP Data'!D835</f>
        <v>0</v>
      </c>
      <c r="E832">
        <f>'PSP Data'!E835</f>
        <v>0</v>
      </c>
      <c r="F832">
        <f>'PSP Data'!F835</f>
        <v>0</v>
      </c>
      <c r="G832">
        <f>'PSP Data'!G835</f>
        <v>0</v>
      </c>
      <c r="H832">
        <f>'PSP Data'!H835</f>
        <v>0</v>
      </c>
      <c r="I832">
        <f>'PSP Data'!I835</f>
        <v>0</v>
      </c>
      <c r="J832" s="29" t="e">
        <f t="shared" si="60"/>
        <v>#N/A</v>
      </c>
      <c r="K832" s="29" t="e">
        <f>IF(AND((A832&lt;'PSP Data'!$C$11),(A832&lt;&gt;0)),Analysis!C832,#N/A)</f>
        <v>#N/A</v>
      </c>
      <c r="L832" t="e">
        <f>IF(VLOOKUP(B832,Table1[],4)=0,"unknown", VLOOKUP(B832,Table1[],4))</f>
        <v>#N/A</v>
      </c>
      <c r="M832">
        <v>1</v>
      </c>
      <c r="N832" t="e">
        <f t="shared" si="61"/>
        <v>#N/A</v>
      </c>
      <c r="O832" t="str">
        <f t="shared" si="62"/>
        <v/>
      </c>
      <c r="P832" t="str">
        <f t="shared" si="63"/>
        <v/>
      </c>
      <c r="Q832" t="str">
        <f t="shared" si="64"/>
        <v/>
      </c>
      <c r="R832">
        <v>1</v>
      </c>
    </row>
    <row r="833" spans="1:18">
      <c r="A833">
        <f>'PSP Data'!A836</f>
        <v>0</v>
      </c>
      <c r="B833" t="str">
        <f>IF('PSP Data'!B836=0,"",'PSP Data'!B836)</f>
        <v/>
      </c>
      <c r="C833">
        <f>'PSP Data'!C836</f>
        <v>0</v>
      </c>
      <c r="D833">
        <f>'PSP Data'!D836</f>
        <v>0</v>
      </c>
      <c r="E833">
        <f>'PSP Data'!E836</f>
        <v>0</v>
      </c>
      <c r="F833">
        <f>'PSP Data'!F836</f>
        <v>0</v>
      </c>
      <c r="G833">
        <f>'PSP Data'!G836</f>
        <v>0</v>
      </c>
      <c r="H833">
        <f>'PSP Data'!H836</f>
        <v>0</v>
      </c>
      <c r="I833">
        <f>'PSP Data'!I836</f>
        <v>0</v>
      </c>
      <c r="J833" s="29" t="e">
        <f t="shared" si="60"/>
        <v>#N/A</v>
      </c>
      <c r="K833" s="29" t="e">
        <f>IF(AND((A833&lt;'PSP Data'!$C$11),(A833&lt;&gt;0)),Analysis!C833,#N/A)</f>
        <v>#N/A</v>
      </c>
      <c r="L833" t="e">
        <f>IF(VLOOKUP(B833,Table1[],4)=0,"unknown", VLOOKUP(B833,Table1[],4))</f>
        <v>#N/A</v>
      </c>
      <c r="M833">
        <v>1</v>
      </c>
      <c r="N833" t="e">
        <f t="shared" si="61"/>
        <v>#N/A</v>
      </c>
      <c r="O833" t="str">
        <f t="shared" si="62"/>
        <v/>
      </c>
      <c r="P833" t="str">
        <f t="shared" si="63"/>
        <v/>
      </c>
      <c r="Q833" t="str">
        <f t="shared" si="64"/>
        <v/>
      </c>
      <c r="R833">
        <v>1</v>
      </c>
    </row>
    <row r="834" spans="1:18">
      <c r="A834">
        <f>'PSP Data'!A837</f>
        <v>0</v>
      </c>
      <c r="B834" t="str">
        <f>IF('PSP Data'!B837=0,"",'PSP Data'!B837)</f>
        <v/>
      </c>
      <c r="C834">
        <f>'PSP Data'!C837</f>
        <v>0</v>
      </c>
      <c r="D834">
        <f>'PSP Data'!D837</f>
        <v>0</v>
      </c>
      <c r="E834">
        <f>'PSP Data'!E837</f>
        <v>0</v>
      </c>
      <c r="F834">
        <f>'PSP Data'!F837</f>
        <v>0</v>
      </c>
      <c r="G834">
        <f>'PSP Data'!G837</f>
        <v>0</v>
      </c>
      <c r="H834">
        <f>'PSP Data'!H837</f>
        <v>0</v>
      </c>
      <c r="I834">
        <f>'PSP Data'!I837</f>
        <v>0</v>
      </c>
      <c r="J834" s="29" t="e">
        <f t="shared" si="60"/>
        <v>#N/A</v>
      </c>
      <c r="K834" s="29" t="e">
        <f>IF(AND((A834&lt;'PSP Data'!$C$11),(A834&lt;&gt;0)),Analysis!C834,#N/A)</f>
        <v>#N/A</v>
      </c>
      <c r="L834" t="e">
        <f>IF(VLOOKUP(B834,Table1[],4)=0,"unknown", VLOOKUP(B834,Table1[],4))</f>
        <v>#N/A</v>
      </c>
      <c r="M834">
        <v>1</v>
      </c>
      <c r="N834" t="e">
        <f t="shared" si="61"/>
        <v>#N/A</v>
      </c>
      <c r="O834" t="str">
        <f t="shared" si="62"/>
        <v/>
      </c>
      <c r="P834" t="str">
        <f t="shared" si="63"/>
        <v/>
      </c>
      <c r="Q834" t="str">
        <f t="shared" si="64"/>
        <v/>
      </c>
      <c r="R834">
        <v>1</v>
      </c>
    </row>
    <row r="835" spans="1:18">
      <c r="A835">
        <f>'PSP Data'!A838</f>
        <v>0</v>
      </c>
      <c r="B835" t="str">
        <f>IF('PSP Data'!B838=0,"",'PSP Data'!B838)</f>
        <v/>
      </c>
      <c r="C835">
        <f>'PSP Data'!C838</f>
        <v>0</v>
      </c>
      <c r="D835">
        <f>'PSP Data'!D838</f>
        <v>0</v>
      </c>
      <c r="E835">
        <f>'PSP Data'!E838</f>
        <v>0</v>
      </c>
      <c r="F835">
        <f>'PSP Data'!F838</f>
        <v>0</v>
      </c>
      <c r="G835">
        <f>'PSP Data'!G838</f>
        <v>0</v>
      </c>
      <c r="H835">
        <f>'PSP Data'!H838</f>
        <v>0</v>
      </c>
      <c r="I835">
        <f>'PSP Data'!I838</f>
        <v>0</v>
      </c>
      <c r="J835" s="29" t="e">
        <f t="shared" si="60"/>
        <v>#N/A</v>
      </c>
      <c r="K835" s="29" t="e">
        <f>IF(AND((A835&lt;'PSP Data'!$C$11),(A835&lt;&gt;0)),Analysis!C835,#N/A)</f>
        <v>#N/A</v>
      </c>
      <c r="L835" t="e">
        <f>IF(VLOOKUP(B835,Table1[],4)=0,"unknown", VLOOKUP(B835,Table1[],4))</f>
        <v>#N/A</v>
      </c>
      <c r="M835">
        <v>1</v>
      </c>
      <c r="N835" t="e">
        <f t="shared" si="61"/>
        <v>#N/A</v>
      </c>
      <c r="O835" t="str">
        <f t="shared" si="62"/>
        <v/>
      </c>
      <c r="P835" t="str">
        <f t="shared" si="63"/>
        <v/>
      </c>
      <c r="Q835" t="str">
        <f t="shared" si="64"/>
        <v/>
      </c>
      <c r="R835">
        <v>1</v>
      </c>
    </row>
    <row r="836" spans="1:18">
      <c r="A836">
        <f>'PSP Data'!A839</f>
        <v>0</v>
      </c>
      <c r="B836" t="str">
        <f>IF('PSP Data'!B839=0,"",'PSP Data'!B839)</f>
        <v/>
      </c>
      <c r="C836">
        <f>'PSP Data'!C839</f>
        <v>0</v>
      </c>
      <c r="D836">
        <f>'PSP Data'!D839</f>
        <v>0</v>
      </c>
      <c r="E836">
        <f>'PSP Data'!E839</f>
        <v>0</v>
      </c>
      <c r="F836">
        <f>'PSP Data'!F839</f>
        <v>0</v>
      </c>
      <c r="G836">
        <f>'PSP Data'!G839</f>
        <v>0</v>
      </c>
      <c r="H836">
        <f>'PSP Data'!H839</f>
        <v>0</v>
      </c>
      <c r="I836">
        <f>'PSP Data'!I839</f>
        <v>0</v>
      </c>
      <c r="J836" s="29" t="e">
        <f t="shared" si="60"/>
        <v>#N/A</v>
      </c>
      <c r="K836" s="29" t="e">
        <f>IF(AND((A836&lt;'PSP Data'!$C$11),(A836&lt;&gt;0)),Analysis!C836,#N/A)</f>
        <v>#N/A</v>
      </c>
      <c r="L836" t="e">
        <f>IF(VLOOKUP(B836,Table1[],4)=0,"unknown", VLOOKUP(B836,Table1[],4))</f>
        <v>#N/A</v>
      </c>
      <c r="M836">
        <v>1</v>
      </c>
      <c r="N836" t="e">
        <f t="shared" si="61"/>
        <v>#N/A</v>
      </c>
      <c r="O836" t="str">
        <f t="shared" si="62"/>
        <v/>
      </c>
      <c r="P836" t="str">
        <f t="shared" si="63"/>
        <v/>
      </c>
      <c r="Q836" t="str">
        <f t="shared" si="64"/>
        <v/>
      </c>
      <c r="R836">
        <v>1</v>
      </c>
    </row>
    <row r="837" spans="1:18">
      <c r="A837">
        <f>'PSP Data'!A840</f>
        <v>0</v>
      </c>
      <c r="B837" t="str">
        <f>IF('PSP Data'!B840=0,"",'PSP Data'!B840)</f>
        <v/>
      </c>
      <c r="C837">
        <f>'PSP Data'!C840</f>
        <v>0</v>
      </c>
      <c r="D837">
        <f>'PSP Data'!D840</f>
        <v>0</v>
      </c>
      <c r="E837">
        <f>'PSP Data'!E840</f>
        <v>0</v>
      </c>
      <c r="F837">
        <f>'PSP Data'!F840</f>
        <v>0</v>
      </c>
      <c r="G837">
        <f>'PSP Data'!G840</f>
        <v>0</v>
      </c>
      <c r="H837">
        <f>'PSP Data'!H840</f>
        <v>0</v>
      </c>
      <c r="I837">
        <f>'PSP Data'!I840</f>
        <v>0</v>
      </c>
      <c r="J837" s="29" t="e">
        <f t="shared" si="60"/>
        <v>#N/A</v>
      </c>
      <c r="K837" s="29" t="e">
        <f>IF(AND((A837&lt;'PSP Data'!$C$11),(A837&lt;&gt;0)),Analysis!C837,#N/A)</f>
        <v>#N/A</v>
      </c>
      <c r="L837" t="e">
        <f>IF(VLOOKUP(B837,Table1[],4)=0,"unknown", VLOOKUP(B837,Table1[],4))</f>
        <v>#N/A</v>
      </c>
      <c r="M837">
        <v>1</v>
      </c>
      <c r="N837" t="e">
        <f t="shared" si="61"/>
        <v>#N/A</v>
      </c>
      <c r="O837" t="str">
        <f t="shared" si="62"/>
        <v/>
      </c>
      <c r="P837" t="str">
        <f t="shared" si="63"/>
        <v/>
      </c>
      <c r="Q837" t="str">
        <f t="shared" si="64"/>
        <v/>
      </c>
      <c r="R837">
        <v>1</v>
      </c>
    </row>
    <row r="838" spans="1:18">
      <c r="A838">
        <f>'PSP Data'!A841</f>
        <v>0</v>
      </c>
      <c r="B838" t="str">
        <f>IF('PSP Data'!B841=0,"",'PSP Data'!B841)</f>
        <v/>
      </c>
      <c r="C838">
        <f>'PSP Data'!C841</f>
        <v>0</v>
      </c>
      <c r="D838">
        <f>'PSP Data'!D841</f>
        <v>0</v>
      </c>
      <c r="E838">
        <f>'PSP Data'!E841</f>
        <v>0</v>
      </c>
      <c r="F838">
        <f>'PSP Data'!F841</f>
        <v>0</v>
      </c>
      <c r="G838">
        <f>'PSP Data'!G841</f>
        <v>0</v>
      </c>
      <c r="H838">
        <f>'PSP Data'!H841</f>
        <v>0</v>
      </c>
      <c r="I838">
        <f>'PSP Data'!I841</f>
        <v>0</v>
      </c>
      <c r="J838" s="29" t="e">
        <f t="shared" si="60"/>
        <v>#N/A</v>
      </c>
      <c r="K838" s="29" t="e">
        <f>IF(AND((A838&lt;'PSP Data'!$C$11),(A838&lt;&gt;0)),Analysis!C838,#N/A)</f>
        <v>#N/A</v>
      </c>
      <c r="L838" t="e">
        <f>IF(VLOOKUP(B838,Table1[],4)=0,"unknown", VLOOKUP(B838,Table1[],4))</f>
        <v>#N/A</v>
      </c>
      <c r="M838">
        <v>1</v>
      </c>
      <c r="N838" t="e">
        <f t="shared" si="61"/>
        <v>#N/A</v>
      </c>
      <c r="O838" t="str">
        <f t="shared" si="62"/>
        <v/>
      </c>
      <c r="P838" t="str">
        <f t="shared" si="63"/>
        <v/>
      </c>
      <c r="Q838" t="str">
        <f t="shared" si="64"/>
        <v/>
      </c>
      <c r="R838">
        <v>1</v>
      </c>
    </row>
    <row r="839" spans="1:18">
      <c r="A839">
        <f>'PSP Data'!A842</f>
        <v>0</v>
      </c>
      <c r="B839" t="str">
        <f>IF('PSP Data'!B842=0,"",'PSP Data'!B842)</f>
        <v/>
      </c>
      <c r="C839">
        <f>'PSP Data'!C842</f>
        <v>0</v>
      </c>
      <c r="D839">
        <f>'PSP Data'!D842</f>
        <v>0</v>
      </c>
      <c r="E839">
        <f>'PSP Data'!E842</f>
        <v>0</v>
      </c>
      <c r="F839">
        <f>'PSP Data'!F842</f>
        <v>0</v>
      </c>
      <c r="G839">
        <f>'PSP Data'!G842</f>
        <v>0</v>
      </c>
      <c r="H839">
        <f>'PSP Data'!H842</f>
        <v>0</v>
      </c>
      <c r="I839">
        <f>'PSP Data'!I842</f>
        <v>0</v>
      </c>
      <c r="J839" s="29" t="e">
        <f t="shared" si="60"/>
        <v>#N/A</v>
      </c>
      <c r="K839" s="29" t="e">
        <f>IF(AND((A839&lt;'PSP Data'!$C$11),(A839&lt;&gt;0)),Analysis!C839,#N/A)</f>
        <v>#N/A</v>
      </c>
      <c r="L839" t="e">
        <f>IF(VLOOKUP(B839,Table1[],4)=0,"unknown", VLOOKUP(B839,Table1[],4))</f>
        <v>#N/A</v>
      </c>
      <c r="M839">
        <v>1</v>
      </c>
      <c r="N839" t="e">
        <f t="shared" si="61"/>
        <v>#N/A</v>
      </c>
      <c r="O839" t="str">
        <f t="shared" si="62"/>
        <v/>
      </c>
      <c r="P839" t="str">
        <f t="shared" si="63"/>
        <v/>
      </c>
      <c r="Q839" t="str">
        <f t="shared" si="64"/>
        <v/>
      </c>
      <c r="R839">
        <v>1</v>
      </c>
    </row>
    <row r="840" spans="1:18">
      <c r="A840">
        <f>'PSP Data'!A843</f>
        <v>0</v>
      </c>
      <c r="B840" t="str">
        <f>IF('PSP Data'!B843=0,"",'PSP Data'!B843)</f>
        <v/>
      </c>
      <c r="C840">
        <f>'PSP Data'!C843</f>
        <v>0</v>
      </c>
      <c r="D840">
        <f>'PSP Data'!D843</f>
        <v>0</v>
      </c>
      <c r="E840">
        <f>'PSP Data'!E843</f>
        <v>0</v>
      </c>
      <c r="F840">
        <f>'PSP Data'!F843</f>
        <v>0</v>
      </c>
      <c r="G840">
        <f>'PSP Data'!G843</f>
        <v>0</v>
      </c>
      <c r="H840">
        <f>'PSP Data'!H843</f>
        <v>0</v>
      </c>
      <c r="I840">
        <f>'PSP Data'!I843</f>
        <v>0</v>
      </c>
      <c r="J840" s="29" t="e">
        <f t="shared" si="60"/>
        <v>#N/A</v>
      </c>
      <c r="K840" s="29" t="e">
        <f>IF(AND((A840&lt;'PSP Data'!$C$11),(A840&lt;&gt;0)),Analysis!C840,#N/A)</f>
        <v>#N/A</v>
      </c>
      <c r="L840" t="e">
        <f>IF(VLOOKUP(B840,Table1[],4)=0,"unknown", VLOOKUP(B840,Table1[],4))</f>
        <v>#N/A</v>
      </c>
      <c r="M840">
        <v>1</v>
      </c>
      <c r="N840" t="e">
        <f t="shared" si="61"/>
        <v>#N/A</v>
      </c>
      <c r="O840" t="str">
        <f t="shared" si="62"/>
        <v/>
      </c>
      <c r="P840" t="str">
        <f t="shared" si="63"/>
        <v/>
      </c>
      <c r="Q840" t="str">
        <f t="shared" si="64"/>
        <v/>
      </c>
      <c r="R840">
        <v>1</v>
      </c>
    </row>
    <row r="841" spans="1:18">
      <c r="A841">
        <f>'PSP Data'!A844</f>
        <v>0</v>
      </c>
      <c r="B841" t="str">
        <f>IF('PSP Data'!B844=0,"",'PSP Data'!B844)</f>
        <v/>
      </c>
      <c r="C841">
        <f>'PSP Data'!C844</f>
        <v>0</v>
      </c>
      <c r="D841">
        <f>'PSP Data'!D844</f>
        <v>0</v>
      </c>
      <c r="E841">
        <f>'PSP Data'!E844</f>
        <v>0</v>
      </c>
      <c r="F841">
        <f>'PSP Data'!F844</f>
        <v>0</v>
      </c>
      <c r="G841">
        <f>'PSP Data'!G844</f>
        <v>0</v>
      </c>
      <c r="H841">
        <f>'PSP Data'!H844</f>
        <v>0</v>
      </c>
      <c r="I841">
        <f>'PSP Data'!I844</f>
        <v>0</v>
      </c>
      <c r="J841" s="29" t="e">
        <f t="shared" si="60"/>
        <v>#N/A</v>
      </c>
      <c r="K841" s="29" t="e">
        <f>IF(AND((A841&lt;'PSP Data'!$C$11),(A841&lt;&gt;0)),Analysis!C841,#N/A)</f>
        <v>#N/A</v>
      </c>
      <c r="L841" t="e">
        <f>IF(VLOOKUP(B841,Table1[],4)=0,"unknown", VLOOKUP(B841,Table1[],4))</f>
        <v>#N/A</v>
      </c>
      <c r="M841">
        <v>1</v>
      </c>
      <c r="N841" t="e">
        <f t="shared" si="61"/>
        <v>#N/A</v>
      </c>
      <c r="O841" t="str">
        <f t="shared" si="62"/>
        <v/>
      </c>
      <c r="P841" t="str">
        <f t="shared" si="63"/>
        <v/>
      </c>
      <c r="Q841" t="str">
        <f t="shared" si="64"/>
        <v/>
      </c>
      <c r="R841">
        <v>1</v>
      </c>
    </row>
    <row r="842" spans="1:18">
      <c r="A842">
        <f>'PSP Data'!A845</f>
        <v>0</v>
      </c>
      <c r="B842" t="str">
        <f>IF('PSP Data'!B845=0,"",'PSP Data'!B845)</f>
        <v/>
      </c>
      <c r="C842">
        <f>'PSP Data'!C845</f>
        <v>0</v>
      </c>
      <c r="D842">
        <f>'PSP Data'!D845</f>
        <v>0</v>
      </c>
      <c r="E842">
        <f>'PSP Data'!E845</f>
        <v>0</v>
      </c>
      <c r="F842">
        <f>'PSP Data'!F845</f>
        <v>0</v>
      </c>
      <c r="G842">
        <f>'PSP Data'!G845</f>
        <v>0</v>
      </c>
      <c r="H842">
        <f>'PSP Data'!H845</f>
        <v>0</v>
      </c>
      <c r="I842">
        <f>'PSP Data'!I845</f>
        <v>0</v>
      </c>
      <c r="J842" s="29" t="e">
        <f t="shared" si="60"/>
        <v>#N/A</v>
      </c>
      <c r="K842" s="29" t="e">
        <f>IF(AND((A842&lt;'PSP Data'!$C$11),(A842&lt;&gt;0)),Analysis!C842,#N/A)</f>
        <v>#N/A</v>
      </c>
      <c r="L842" t="e">
        <f>IF(VLOOKUP(B842,Table1[],4)=0,"unknown", VLOOKUP(B842,Table1[],4))</f>
        <v>#N/A</v>
      </c>
      <c r="M842">
        <v>1</v>
      </c>
      <c r="N842" t="e">
        <f t="shared" si="61"/>
        <v>#N/A</v>
      </c>
      <c r="O842" t="str">
        <f t="shared" si="62"/>
        <v/>
      </c>
      <c r="P842" t="str">
        <f t="shared" si="63"/>
        <v/>
      </c>
      <c r="Q842" t="str">
        <f t="shared" si="64"/>
        <v/>
      </c>
      <c r="R842">
        <v>1</v>
      </c>
    </row>
    <row r="843" spans="1:18">
      <c r="A843">
        <f>'PSP Data'!A846</f>
        <v>0</v>
      </c>
      <c r="B843" t="str">
        <f>IF('PSP Data'!B846=0,"",'PSP Data'!B846)</f>
        <v/>
      </c>
      <c r="C843">
        <f>'PSP Data'!C846</f>
        <v>0</v>
      </c>
      <c r="D843">
        <f>'PSP Data'!D846</f>
        <v>0</v>
      </c>
      <c r="E843">
        <f>'PSP Data'!E846</f>
        <v>0</v>
      </c>
      <c r="F843">
        <f>'PSP Data'!F846</f>
        <v>0</v>
      </c>
      <c r="G843">
        <f>'PSP Data'!G846</f>
        <v>0</v>
      </c>
      <c r="H843">
        <f>'PSP Data'!H846</f>
        <v>0</v>
      </c>
      <c r="I843">
        <f>'PSP Data'!I846</f>
        <v>0</v>
      </c>
      <c r="J843" s="29" t="e">
        <f t="shared" si="60"/>
        <v>#N/A</v>
      </c>
      <c r="K843" s="29" t="e">
        <f>IF(AND((A843&lt;'PSP Data'!$C$11),(A843&lt;&gt;0)),Analysis!C843,#N/A)</f>
        <v>#N/A</v>
      </c>
      <c r="L843" t="e">
        <f>IF(VLOOKUP(B843,Table1[],4)=0,"unknown", VLOOKUP(B843,Table1[],4))</f>
        <v>#N/A</v>
      </c>
      <c r="M843">
        <v>1</v>
      </c>
      <c r="N843" t="e">
        <f t="shared" si="61"/>
        <v>#N/A</v>
      </c>
      <c r="O843" t="str">
        <f t="shared" si="62"/>
        <v/>
      </c>
      <c r="P843" t="str">
        <f t="shared" si="63"/>
        <v/>
      </c>
      <c r="Q843" t="str">
        <f t="shared" si="64"/>
        <v/>
      </c>
      <c r="R843">
        <v>1</v>
      </c>
    </row>
    <row r="844" spans="1:18">
      <c r="A844">
        <f>'PSP Data'!A847</f>
        <v>0</v>
      </c>
      <c r="B844" t="str">
        <f>IF('PSP Data'!B847=0,"",'PSP Data'!B847)</f>
        <v/>
      </c>
      <c r="C844">
        <f>'PSP Data'!C847</f>
        <v>0</v>
      </c>
      <c r="D844">
        <f>'PSP Data'!D847</f>
        <v>0</v>
      </c>
      <c r="E844">
        <f>'PSP Data'!E847</f>
        <v>0</v>
      </c>
      <c r="F844">
        <f>'PSP Data'!F847</f>
        <v>0</v>
      </c>
      <c r="G844">
        <f>'PSP Data'!G847</f>
        <v>0</v>
      </c>
      <c r="H844">
        <f>'PSP Data'!H847</f>
        <v>0</v>
      </c>
      <c r="I844">
        <f>'PSP Data'!I847</f>
        <v>0</v>
      </c>
      <c r="J844" s="29" t="e">
        <f t="shared" si="60"/>
        <v>#N/A</v>
      </c>
      <c r="K844" s="29" t="e">
        <f>IF(AND((A844&lt;'PSP Data'!$C$11),(A844&lt;&gt;0)),Analysis!C844,#N/A)</f>
        <v>#N/A</v>
      </c>
      <c r="L844" t="e">
        <f>IF(VLOOKUP(B844,Table1[],4)=0,"unknown", VLOOKUP(B844,Table1[],4))</f>
        <v>#N/A</v>
      </c>
      <c r="M844">
        <v>1</v>
      </c>
      <c r="N844" t="e">
        <f t="shared" si="61"/>
        <v>#N/A</v>
      </c>
      <c r="O844" t="str">
        <f t="shared" si="62"/>
        <v/>
      </c>
      <c r="P844" t="str">
        <f t="shared" si="63"/>
        <v/>
      </c>
      <c r="Q844" t="str">
        <f t="shared" si="64"/>
        <v/>
      </c>
      <c r="R844">
        <v>1</v>
      </c>
    </row>
    <row r="845" spans="1:18">
      <c r="A845">
        <f>'PSP Data'!A848</f>
        <v>0</v>
      </c>
      <c r="B845" t="str">
        <f>IF('PSP Data'!B848=0,"",'PSP Data'!B848)</f>
        <v/>
      </c>
      <c r="C845">
        <f>'PSP Data'!C848</f>
        <v>0</v>
      </c>
      <c r="D845">
        <f>'PSP Data'!D848</f>
        <v>0</v>
      </c>
      <c r="E845">
        <f>'PSP Data'!E848</f>
        <v>0</v>
      </c>
      <c r="F845">
        <f>'PSP Data'!F848</f>
        <v>0</v>
      </c>
      <c r="G845">
        <f>'PSP Data'!G848</f>
        <v>0</v>
      </c>
      <c r="H845">
        <f>'PSP Data'!H848</f>
        <v>0</v>
      </c>
      <c r="I845">
        <f>'PSP Data'!I848</f>
        <v>0</v>
      </c>
      <c r="J845" s="29" t="e">
        <f t="shared" si="60"/>
        <v>#N/A</v>
      </c>
      <c r="K845" s="29" t="e">
        <f>IF(AND((A845&lt;'PSP Data'!$C$11),(A845&lt;&gt;0)),Analysis!C845,#N/A)</f>
        <v>#N/A</v>
      </c>
      <c r="L845" t="e">
        <f>IF(VLOOKUP(B845,Table1[],4)=0,"unknown", VLOOKUP(B845,Table1[],4))</f>
        <v>#N/A</v>
      </c>
      <c r="M845">
        <v>1</v>
      </c>
      <c r="N845" t="e">
        <f t="shared" si="61"/>
        <v>#N/A</v>
      </c>
      <c r="O845" t="str">
        <f t="shared" si="62"/>
        <v/>
      </c>
      <c r="P845" t="str">
        <f t="shared" si="63"/>
        <v/>
      </c>
      <c r="Q845" t="str">
        <f t="shared" si="64"/>
        <v/>
      </c>
      <c r="R845">
        <v>1</v>
      </c>
    </row>
    <row r="846" spans="1:18">
      <c r="A846">
        <f>'PSP Data'!A849</f>
        <v>0</v>
      </c>
      <c r="B846" t="str">
        <f>IF('PSP Data'!B849=0,"",'PSP Data'!B849)</f>
        <v/>
      </c>
      <c r="C846">
        <f>'PSP Data'!C849</f>
        <v>0</v>
      </c>
      <c r="D846">
        <f>'PSP Data'!D849</f>
        <v>0</v>
      </c>
      <c r="E846">
        <f>'PSP Data'!E849</f>
        <v>0</v>
      </c>
      <c r="F846">
        <f>'PSP Data'!F849</f>
        <v>0</v>
      </c>
      <c r="G846">
        <f>'PSP Data'!G849</f>
        <v>0</v>
      </c>
      <c r="H846">
        <f>'PSP Data'!H849</f>
        <v>0</v>
      </c>
      <c r="I846">
        <f>'PSP Data'!I849</f>
        <v>0</v>
      </c>
      <c r="J846" s="29" t="e">
        <f t="shared" si="60"/>
        <v>#N/A</v>
      </c>
      <c r="K846" s="29" t="e">
        <f>IF(AND((A846&lt;'PSP Data'!$C$11),(A846&lt;&gt;0)),Analysis!C846,#N/A)</f>
        <v>#N/A</v>
      </c>
      <c r="L846" t="e">
        <f>IF(VLOOKUP(B846,Table1[],4)=0,"unknown", VLOOKUP(B846,Table1[],4))</f>
        <v>#N/A</v>
      </c>
      <c r="M846">
        <v>1</v>
      </c>
      <c r="N846" t="e">
        <f t="shared" si="61"/>
        <v>#N/A</v>
      </c>
      <c r="O846" t="str">
        <f t="shared" si="62"/>
        <v/>
      </c>
      <c r="P846" t="str">
        <f t="shared" si="63"/>
        <v/>
      </c>
      <c r="Q846" t="str">
        <f t="shared" si="64"/>
        <v/>
      </c>
      <c r="R846">
        <v>1</v>
      </c>
    </row>
    <row r="847" spans="1:18">
      <c r="A847">
        <f>'PSP Data'!A850</f>
        <v>0</v>
      </c>
      <c r="B847" t="str">
        <f>IF('PSP Data'!B850=0,"",'PSP Data'!B850)</f>
        <v/>
      </c>
      <c r="C847">
        <f>'PSP Data'!C850</f>
        <v>0</v>
      </c>
      <c r="D847">
        <f>'PSP Data'!D850</f>
        <v>0</v>
      </c>
      <c r="E847">
        <f>'PSP Data'!E850</f>
        <v>0</v>
      </c>
      <c r="F847">
        <f>'PSP Data'!F850</f>
        <v>0</v>
      </c>
      <c r="G847">
        <f>'PSP Data'!G850</f>
        <v>0</v>
      </c>
      <c r="H847">
        <f>'PSP Data'!H850</f>
        <v>0</v>
      </c>
      <c r="I847">
        <f>'PSP Data'!I850</f>
        <v>0</v>
      </c>
      <c r="J847" s="29" t="e">
        <f t="shared" si="60"/>
        <v>#N/A</v>
      </c>
      <c r="K847" s="29" t="e">
        <f>IF(AND((A847&lt;'PSP Data'!$C$11),(A847&lt;&gt;0)),Analysis!C847,#N/A)</f>
        <v>#N/A</v>
      </c>
      <c r="L847" t="e">
        <f>IF(VLOOKUP(B847,Table1[],4)=0,"unknown", VLOOKUP(B847,Table1[],4))</f>
        <v>#N/A</v>
      </c>
      <c r="M847">
        <v>1</v>
      </c>
      <c r="N847" t="e">
        <f t="shared" si="61"/>
        <v>#N/A</v>
      </c>
      <c r="O847" t="str">
        <f t="shared" si="62"/>
        <v/>
      </c>
      <c r="P847" t="str">
        <f t="shared" si="63"/>
        <v/>
      </c>
      <c r="Q847" t="str">
        <f t="shared" si="64"/>
        <v/>
      </c>
      <c r="R847">
        <v>1</v>
      </c>
    </row>
    <row r="848" spans="1:18">
      <c r="A848">
        <f>'PSP Data'!A851</f>
        <v>0</v>
      </c>
      <c r="B848" t="str">
        <f>IF('PSP Data'!B851=0,"",'PSP Data'!B851)</f>
        <v/>
      </c>
      <c r="C848">
        <f>'PSP Data'!C851</f>
        <v>0</v>
      </c>
      <c r="D848">
        <f>'PSP Data'!D851</f>
        <v>0</v>
      </c>
      <c r="E848">
        <f>'PSP Data'!E851</f>
        <v>0</v>
      </c>
      <c r="F848">
        <f>'PSP Data'!F851</f>
        <v>0</v>
      </c>
      <c r="G848">
        <f>'PSP Data'!G851</f>
        <v>0</v>
      </c>
      <c r="H848">
        <f>'PSP Data'!H851</f>
        <v>0</v>
      </c>
      <c r="I848">
        <f>'PSP Data'!I851</f>
        <v>0</v>
      </c>
      <c r="J848" s="29" t="e">
        <f t="shared" si="60"/>
        <v>#N/A</v>
      </c>
      <c r="K848" s="29" t="e">
        <f>IF(AND((A848&lt;'PSP Data'!$C$11),(A848&lt;&gt;0)),Analysis!C848,#N/A)</f>
        <v>#N/A</v>
      </c>
      <c r="L848" t="e">
        <f>IF(VLOOKUP(B848,Table1[],4)=0,"unknown", VLOOKUP(B848,Table1[],4))</f>
        <v>#N/A</v>
      </c>
      <c r="M848">
        <v>1</v>
      </c>
      <c r="N848" t="e">
        <f t="shared" si="61"/>
        <v>#N/A</v>
      </c>
      <c r="O848" t="str">
        <f t="shared" si="62"/>
        <v/>
      </c>
      <c r="P848" t="str">
        <f t="shared" si="63"/>
        <v/>
      </c>
      <c r="Q848" t="str">
        <f t="shared" si="64"/>
        <v/>
      </c>
      <c r="R848">
        <v>1</v>
      </c>
    </row>
    <row r="849" spans="1:18">
      <c r="A849">
        <f>'PSP Data'!A852</f>
        <v>0</v>
      </c>
      <c r="B849" t="str">
        <f>IF('PSP Data'!B852=0,"",'PSP Data'!B852)</f>
        <v/>
      </c>
      <c r="C849">
        <f>'PSP Data'!C852</f>
        <v>0</v>
      </c>
      <c r="D849">
        <f>'PSP Data'!D852</f>
        <v>0</v>
      </c>
      <c r="E849">
        <f>'PSP Data'!E852</f>
        <v>0</v>
      </c>
      <c r="F849">
        <f>'PSP Data'!F852</f>
        <v>0</v>
      </c>
      <c r="G849">
        <f>'PSP Data'!G852</f>
        <v>0</v>
      </c>
      <c r="H849">
        <f>'PSP Data'!H852</f>
        <v>0</v>
      </c>
      <c r="I849">
        <f>'PSP Data'!I852</f>
        <v>0</v>
      </c>
      <c r="J849" s="29" t="e">
        <f t="shared" si="60"/>
        <v>#N/A</v>
      </c>
      <c r="K849" s="29" t="e">
        <f>IF(AND((A849&lt;'PSP Data'!$C$11),(A849&lt;&gt;0)),Analysis!C849,#N/A)</f>
        <v>#N/A</v>
      </c>
      <c r="L849" t="e">
        <f>IF(VLOOKUP(B849,Table1[],4)=0,"unknown", VLOOKUP(B849,Table1[],4))</f>
        <v>#N/A</v>
      </c>
      <c r="M849">
        <v>1</v>
      </c>
      <c r="N849" t="e">
        <f t="shared" si="61"/>
        <v>#N/A</v>
      </c>
      <c r="O849" t="str">
        <f t="shared" si="62"/>
        <v/>
      </c>
      <c r="P849" t="str">
        <f t="shared" si="63"/>
        <v/>
      </c>
      <c r="Q849" t="str">
        <f t="shared" si="64"/>
        <v/>
      </c>
      <c r="R849">
        <v>1</v>
      </c>
    </row>
    <row r="850" spans="1:18">
      <c r="A850">
        <f>'PSP Data'!A853</f>
        <v>0</v>
      </c>
      <c r="B850" t="str">
        <f>IF('PSP Data'!B853=0,"",'PSP Data'!B853)</f>
        <v/>
      </c>
      <c r="C850">
        <f>'PSP Data'!C853</f>
        <v>0</v>
      </c>
      <c r="D850">
        <f>'PSP Data'!D853</f>
        <v>0</v>
      </c>
      <c r="E850">
        <f>'PSP Data'!E853</f>
        <v>0</v>
      </c>
      <c r="F850">
        <f>'PSP Data'!F853</f>
        <v>0</v>
      </c>
      <c r="G850">
        <f>'PSP Data'!G853</f>
        <v>0</v>
      </c>
      <c r="H850">
        <f>'PSP Data'!H853</f>
        <v>0</v>
      </c>
      <c r="I850">
        <f>'PSP Data'!I853</f>
        <v>0</v>
      </c>
      <c r="J850" s="29" t="e">
        <f t="shared" si="60"/>
        <v>#N/A</v>
      </c>
      <c r="K850" s="29" t="e">
        <f>IF(AND((A850&lt;'PSP Data'!$C$11),(A850&lt;&gt;0)),Analysis!C850,#N/A)</f>
        <v>#N/A</v>
      </c>
      <c r="L850" t="e">
        <f>IF(VLOOKUP(B850,Table1[],4)=0,"unknown", VLOOKUP(B850,Table1[],4))</f>
        <v>#N/A</v>
      </c>
      <c r="M850">
        <v>1</v>
      </c>
      <c r="N850" t="e">
        <f t="shared" si="61"/>
        <v>#N/A</v>
      </c>
      <c r="O850" t="str">
        <f t="shared" si="62"/>
        <v/>
      </c>
      <c r="P850" t="str">
        <f t="shared" si="63"/>
        <v/>
      </c>
      <c r="Q850" t="str">
        <f t="shared" si="64"/>
        <v/>
      </c>
      <c r="R850">
        <v>1</v>
      </c>
    </row>
    <row r="851" spans="1:18">
      <c r="A851">
        <f>'PSP Data'!A854</f>
        <v>0</v>
      </c>
      <c r="B851" t="str">
        <f>IF('PSP Data'!B854=0,"",'PSP Data'!B854)</f>
        <v/>
      </c>
      <c r="C851">
        <f>'PSP Data'!C854</f>
        <v>0</v>
      </c>
      <c r="D851">
        <f>'PSP Data'!D854</f>
        <v>0</v>
      </c>
      <c r="E851">
        <f>'PSP Data'!E854</f>
        <v>0</v>
      </c>
      <c r="F851">
        <f>'PSP Data'!F854</f>
        <v>0</v>
      </c>
      <c r="G851">
        <f>'PSP Data'!G854</f>
        <v>0</v>
      </c>
      <c r="H851">
        <f>'PSP Data'!H854</f>
        <v>0</v>
      </c>
      <c r="I851">
        <f>'PSP Data'!I854</f>
        <v>0</v>
      </c>
      <c r="J851" s="29" t="e">
        <f t="shared" si="60"/>
        <v>#N/A</v>
      </c>
      <c r="K851" s="29" t="e">
        <f>IF(AND((A851&lt;'PSP Data'!$C$11),(A851&lt;&gt;0)),Analysis!C851,#N/A)</f>
        <v>#N/A</v>
      </c>
      <c r="L851" t="e">
        <f>IF(VLOOKUP(B851,Table1[],4)=0,"unknown", VLOOKUP(B851,Table1[],4))</f>
        <v>#N/A</v>
      </c>
      <c r="M851">
        <v>1</v>
      </c>
      <c r="N851" t="e">
        <f t="shared" si="61"/>
        <v>#N/A</v>
      </c>
      <c r="O851" t="str">
        <f t="shared" si="62"/>
        <v/>
      </c>
      <c r="P851" t="str">
        <f t="shared" si="63"/>
        <v/>
      </c>
      <c r="Q851" t="str">
        <f t="shared" si="64"/>
        <v/>
      </c>
      <c r="R851">
        <v>1</v>
      </c>
    </row>
    <row r="852" spans="1:18">
      <c r="A852">
        <f>'PSP Data'!A855</f>
        <v>0</v>
      </c>
      <c r="B852" t="str">
        <f>IF('PSP Data'!B855=0,"",'PSP Data'!B855)</f>
        <v/>
      </c>
      <c r="C852">
        <f>'PSP Data'!C855</f>
        <v>0</v>
      </c>
      <c r="D852">
        <f>'PSP Data'!D855</f>
        <v>0</v>
      </c>
      <c r="E852">
        <f>'PSP Data'!E855</f>
        <v>0</v>
      </c>
      <c r="F852">
        <f>'PSP Data'!F855</f>
        <v>0</v>
      </c>
      <c r="G852">
        <f>'PSP Data'!G855</f>
        <v>0</v>
      </c>
      <c r="H852">
        <f>'PSP Data'!H855</f>
        <v>0</v>
      </c>
      <c r="I852">
        <f>'PSP Data'!I855</f>
        <v>0</v>
      </c>
      <c r="J852" s="29" t="e">
        <f t="shared" si="60"/>
        <v>#N/A</v>
      </c>
      <c r="K852" s="29" t="e">
        <f>IF(AND((A852&lt;'PSP Data'!$C$11),(A852&lt;&gt;0)),Analysis!C852,#N/A)</f>
        <v>#N/A</v>
      </c>
      <c r="L852" t="e">
        <f>IF(VLOOKUP(B852,Table1[],4)=0,"unknown", VLOOKUP(B852,Table1[],4))</f>
        <v>#N/A</v>
      </c>
      <c r="M852">
        <v>1</v>
      </c>
      <c r="N852" t="e">
        <f t="shared" si="61"/>
        <v>#N/A</v>
      </c>
      <c r="O852" t="str">
        <f t="shared" si="62"/>
        <v/>
      </c>
      <c r="P852" t="str">
        <f t="shared" si="63"/>
        <v/>
      </c>
      <c r="Q852" t="str">
        <f t="shared" si="64"/>
        <v/>
      </c>
      <c r="R852">
        <v>1</v>
      </c>
    </row>
    <row r="853" spans="1:18">
      <c r="A853">
        <f>'PSP Data'!A856</f>
        <v>0</v>
      </c>
      <c r="B853" t="str">
        <f>IF('PSP Data'!B856=0,"",'PSP Data'!B856)</f>
        <v/>
      </c>
      <c r="C853">
        <f>'PSP Data'!C856</f>
        <v>0</v>
      </c>
      <c r="D853">
        <f>'PSP Data'!D856</f>
        <v>0</v>
      </c>
      <c r="E853">
        <f>'PSP Data'!E856</f>
        <v>0</v>
      </c>
      <c r="F853">
        <f>'PSP Data'!F856</f>
        <v>0</v>
      </c>
      <c r="G853">
        <f>'PSP Data'!G856</f>
        <v>0</v>
      </c>
      <c r="H853">
        <f>'PSP Data'!H856</f>
        <v>0</v>
      </c>
      <c r="I853">
        <f>'PSP Data'!I856</f>
        <v>0</v>
      </c>
      <c r="J853" s="29" t="e">
        <f t="shared" si="60"/>
        <v>#N/A</v>
      </c>
      <c r="K853" s="29" t="e">
        <f>IF(AND((A853&lt;'PSP Data'!$C$11),(A853&lt;&gt;0)),Analysis!C853,#N/A)</f>
        <v>#N/A</v>
      </c>
      <c r="L853" t="e">
        <f>IF(VLOOKUP(B853,Table1[],4)=0,"unknown", VLOOKUP(B853,Table1[],4))</f>
        <v>#N/A</v>
      </c>
      <c r="M853">
        <v>1</v>
      </c>
      <c r="N853" t="e">
        <f t="shared" si="61"/>
        <v>#N/A</v>
      </c>
      <c r="O853" t="str">
        <f t="shared" si="62"/>
        <v/>
      </c>
      <c r="P853" t="str">
        <f t="shared" si="63"/>
        <v/>
      </c>
      <c r="Q853" t="str">
        <f t="shared" si="64"/>
        <v/>
      </c>
      <c r="R853">
        <v>1</v>
      </c>
    </row>
    <row r="854" spans="1:18">
      <c r="A854">
        <f>'PSP Data'!A857</f>
        <v>0</v>
      </c>
      <c r="B854" t="str">
        <f>IF('PSP Data'!B857=0,"",'PSP Data'!B857)</f>
        <v/>
      </c>
      <c r="C854">
        <f>'PSP Data'!C857</f>
        <v>0</v>
      </c>
      <c r="D854">
        <f>'PSP Data'!D857</f>
        <v>0</v>
      </c>
      <c r="E854">
        <f>'PSP Data'!E857</f>
        <v>0</v>
      </c>
      <c r="F854">
        <f>'PSP Data'!F857</f>
        <v>0</v>
      </c>
      <c r="G854">
        <f>'PSP Data'!G857</f>
        <v>0</v>
      </c>
      <c r="H854">
        <f>'PSP Data'!H857</f>
        <v>0</v>
      </c>
      <c r="I854">
        <f>'PSP Data'!I857</f>
        <v>0</v>
      </c>
      <c r="J854" s="29" t="e">
        <f t="shared" ref="J854:J900" si="65">IF(C854&gt;=25,C854,#N/A)</f>
        <v>#N/A</v>
      </c>
      <c r="K854" s="29" t="e">
        <f>IF(AND((A854&lt;'PSP Data'!$C$11),(A854&lt;&gt;0)),Analysis!C854,#N/A)</f>
        <v>#N/A</v>
      </c>
      <c r="L854" t="e">
        <f>IF(VLOOKUP(B854,Table1[],4)=0,"unknown", VLOOKUP(B854,Table1[],4))</f>
        <v>#N/A</v>
      </c>
      <c r="M854">
        <v>1</v>
      </c>
      <c r="N854" t="e">
        <f t="shared" ref="N854:N900" si="66">IF(L854="timber",B854,"")</f>
        <v>#N/A</v>
      </c>
      <c r="O854" t="str">
        <f t="shared" ref="O854:O900" si="67">IF(D854="y",B854,"")</f>
        <v/>
      </c>
      <c r="P854" t="str">
        <f t="shared" ref="P854:P900" si="68">IF(F854="y",B854,"")</f>
        <v/>
      </c>
      <c r="Q854" t="str">
        <f t="shared" ref="Q854:Q900" si="69">IF(B854="","",ISNUMBER(FIND("Dead wood",B854:B1733)))</f>
        <v/>
      </c>
      <c r="R854">
        <v>1</v>
      </c>
    </row>
    <row r="855" spans="1:18">
      <c r="A855">
        <f>'PSP Data'!A858</f>
        <v>0</v>
      </c>
      <c r="B855" t="str">
        <f>IF('PSP Data'!B858=0,"",'PSP Data'!B858)</f>
        <v/>
      </c>
      <c r="C855">
        <f>'PSP Data'!C858</f>
        <v>0</v>
      </c>
      <c r="D855">
        <f>'PSP Data'!D858</f>
        <v>0</v>
      </c>
      <c r="E855">
        <f>'PSP Data'!E858</f>
        <v>0</v>
      </c>
      <c r="F855">
        <f>'PSP Data'!F858</f>
        <v>0</v>
      </c>
      <c r="G855">
        <f>'PSP Data'!G858</f>
        <v>0</v>
      </c>
      <c r="H855">
        <f>'PSP Data'!H858</f>
        <v>0</v>
      </c>
      <c r="I855">
        <f>'PSP Data'!I858</f>
        <v>0</v>
      </c>
      <c r="J855" s="29" t="e">
        <f t="shared" si="65"/>
        <v>#N/A</v>
      </c>
      <c r="K855" s="29" t="e">
        <f>IF(AND((A855&lt;'PSP Data'!$C$11),(A855&lt;&gt;0)),Analysis!C855,#N/A)</f>
        <v>#N/A</v>
      </c>
      <c r="L855" t="e">
        <f>IF(VLOOKUP(B855,Table1[],4)=0,"unknown", VLOOKUP(B855,Table1[],4))</f>
        <v>#N/A</v>
      </c>
      <c r="M855">
        <v>1</v>
      </c>
      <c r="N855" t="e">
        <f t="shared" si="66"/>
        <v>#N/A</v>
      </c>
      <c r="O855" t="str">
        <f t="shared" si="67"/>
        <v/>
      </c>
      <c r="P855" t="str">
        <f t="shared" si="68"/>
        <v/>
      </c>
      <c r="Q855" t="str">
        <f t="shared" si="69"/>
        <v/>
      </c>
      <c r="R855">
        <v>1</v>
      </c>
    </row>
    <row r="856" spans="1:18">
      <c r="A856">
        <f>'PSP Data'!A859</f>
        <v>0</v>
      </c>
      <c r="B856" t="str">
        <f>IF('PSP Data'!B859=0,"",'PSP Data'!B859)</f>
        <v/>
      </c>
      <c r="C856">
        <f>'PSP Data'!C859</f>
        <v>0</v>
      </c>
      <c r="D856">
        <f>'PSP Data'!D859</f>
        <v>0</v>
      </c>
      <c r="E856">
        <f>'PSP Data'!E859</f>
        <v>0</v>
      </c>
      <c r="F856">
        <f>'PSP Data'!F859</f>
        <v>0</v>
      </c>
      <c r="G856">
        <f>'PSP Data'!G859</f>
        <v>0</v>
      </c>
      <c r="H856">
        <f>'PSP Data'!H859</f>
        <v>0</v>
      </c>
      <c r="I856">
        <f>'PSP Data'!I859</f>
        <v>0</v>
      </c>
      <c r="J856" s="29" t="e">
        <f t="shared" si="65"/>
        <v>#N/A</v>
      </c>
      <c r="K856" s="29" t="e">
        <f>IF(AND((A856&lt;'PSP Data'!$C$11),(A856&lt;&gt;0)),Analysis!C856,#N/A)</f>
        <v>#N/A</v>
      </c>
      <c r="L856" t="e">
        <f>IF(VLOOKUP(B856,Table1[],4)=0,"unknown", VLOOKUP(B856,Table1[],4))</f>
        <v>#N/A</v>
      </c>
      <c r="M856">
        <v>1</v>
      </c>
      <c r="N856" t="e">
        <f t="shared" si="66"/>
        <v>#N/A</v>
      </c>
      <c r="O856" t="str">
        <f t="shared" si="67"/>
        <v/>
      </c>
      <c r="P856" t="str">
        <f t="shared" si="68"/>
        <v/>
      </c>
      <c r="Q856" t="str">
        <f t="shared" si="69"/>
        <v/>
      </c>
      <c r="R856">
        <v>1</v>
      </c>
    </row>
    <row r="857" spans="1:18">
      <c r="A857">
        <f>'PSP Data'!A860</f>
        <v>0</v>
      </c>
      <c r="B857" t="str">
        <f>IF('PSP Data'!B860=0,"",'PSP Data'!B860)</f>
        <v/>
      </c>
      <c r="C857">
        <f>'PSP Data'!C860</f>
        <v>0</v>
      </c>
      <c r="D857">
        <f>'PSP Data'!D860</f>
        <v>0</v>
      </c>
      <c r="E857">
        <f>'PSP Data'!E860</f>
        <v>0</v>
      </c>
      <c r="F857">
        <f>'PSP Data'!F860</f>
        <v>0</v>
      </c>
      <c r="G857">
        <f>'PSP Data'!G860</f>
        <v>0</v>
      </c>
      <c r="H857">
        <f>'PSP Data'!H860</f>
        <v>0</v>
      </c>
      <c r="I857">
        <f>'PSP Data'!I860</f>
        <v>0</v>
      </c>
      <c r="J857" s="29" t="e">
        <f t="shared" si="65"/>
        <v>#N/A</v>
      </c>
      <c r="K857" s="29" t="e">
        <f>IF(AND((A857&lt;'PSP Data'!$C$11),(A857&lt;&gt;0)),Analysis!C857,#N/A)</f>
        <v>#N/A</v>
      </c>
      <c r="L857" t="e">
        <f>IF(VLOOKUP(B857,Table1[],4)=0,"unknown", VLOOKUP(B857,Table1[],4))</f>
        <v>#N/A</v>
      </c>
      <c r="M857">
        <v>1</v>
      </c>
      <c r="N857" t="e">
        <f t="shared" si="66"/>
        <v>#N/A</v>
      </c>
      <c r="O857" t="str">
        <f t="shared" si="67"/>
        <v/>
      </c>
      <c r="P857" t="str">
        <f t="shared" si="68"/>
        <v/>
      </c>
      <c r="Q857" t="str">
        <f t="shared" si="69"/>
        <v/>
      </c>
      <c r="R857">
        <v>1</v>
      </c>
    </row>
    <row r="858" spans="1:18">
      <c r="A858">
        <f>'PSP Data'!A861</f>
        <v>0</v>
      </c>
      <c r="B858" t="str">
        <f>IF('PSP Data'!B861=0,"",'PSP Data'!B861)</f>
        <v/>
      </c>
      <c r="C858">
        <f>'PSP Data'!C861</f>
        <v>0</v>
      </c>
      <c r="D858">
        <f>'PSP Data'!D861</f>
        <v>0</v>
      </c>
      <c r="E858">
        <f>'PSP Data'!E861</f>
        <v>0</v>
      </c>
      <c r="F858">
        <f>'PSP Data'!F861</f>
        <v>0</v>
      </c>
      <c r="G858">
        <f>'PSP Data'!G861</f>
        <v>0</v>
      </c>
      <c r="H858">
        <f>'PSP Data'!H861</f>
        <v>0</v>
      </c>
      <c r="I858">
        <f>'PSP Data'!I861</f>
        <v>0</v>
      </c>
      <c r="J858" s="29" t="e">
        <f t="shared" si="65"/>
        <v>#N/A</v>
      </c>
      <c r="K858" s="29" t="e">
        <f>IF(AND((A858&lt;'PSP Data'!$C$11),(A858&lt;&gt;0)),Analysis!C858,#N/A)</f>
        <v>#N/A</v>
      </c>
      <c r="L858" t="e">
        <f>IF(VLOOKUP(B858,Table1[],4)=0,"unknown", VLOOKUP(B858,Table1[],4))</f>
        <v>#N/A</v>
      </c>
      <c r="M858">
        <v>1</v>
      </c>
      <c r="N858" t="e">
        <f t="shared" si="66"/>
        <v>#N/A</v>
      </c>
      <c r="O858" t="str">
        <f t="shared" si="67"/>
        <v/>
      </c>
      <c r="P858" t="str">
        <f t="shared" si="68"/>
        <v/>
      </c>
      <c r="Q858" t="str">
        <f t="shared" si="69"/>
        <v/>
      </c>
      <c r="R858">
        <v>1</v>
      </c>
    </row>
    <row r="859" spans="1:18">
      <c r="A859">
        <f>'PSP Data'!A862</f>
        <v>0</v>
      </c>
      <c r="B859" t="str">
        <f>IF('PSP Data'!B862=0,"",'PSP Data'!B862)</f>
        <v/>
      </c>
      <c r="C859">
        <f>'PSP Data'!C862</f>
        <v>0</v>
      </c>
      <c r="D859">
        <f>'PSP Data'!D862</f>
        <v>0</v>
      </c>
      <c r="E859">
        <f>'PSP Data'!E862</f>
        <v>0</v>
      </c>
      <c r="F859">
        <f>'PSP Data'!F862</f>
        <v>0</v>
      </c>
      <c r="G859">
        <f>'PSP Data'!G862</f>
        <v>0</v>
      </c>
      <c r="H859">
        <f>'PSP Data'!H862</f>
        <v>0</v>
      </c>
      <c r="I859">
        <f>'PSP Data'!I862</f>
        <v>0</v>
      </c>
      <c r="J859" s="29" t="e">
        <f t="shared" si="65"/>
        <v>#N/A</v>
      </c>
      <c r="K859" s="29" t="e">
        <f>IF(AND((A859&lt;'PSP Data'!$C$11),(A859&lt;&gt;0)),Analysis!C859,#N/A)</f>
        <v>#N/A</v>
      </c>
      <c r="L859" t="e">
        <f>IF(VLOOKUP(B859,Table1[],4)=0,"unknown", VLOOKUP(B859,Table1[],4))</f>
        <v>#N/A</v>
      </c>
      <c r="M859">
        <v>1</v>
      </c>
      <c r="N859" t="e">
        <f t="shared" si="66"/>
        <v>#N/A</v>
      </c>
      <c r="O859" t="str">
        <f t="shared" si="67"/>
        <v/>
      </c>
      <c r="P859" t="str">
        <f t="shared" si="68"/>
        <v/>
      </c>
      <c r="Q859" t="str">
        <f t="shared" si="69"/>
        <v/>
      </c>
      <c r="R859">
        <v>1</v>
      </c>
    </row>
    <row r="860" spans="1:18">
      <c r="A860">
        <f>'PSP Data'!A863</f>
        <v>0</v>
      </c>
      <c r="B860" t="str">
        <f>IF('PSP Data'!B863=0,"",'PSP Data'!B863)</f>
        <v/>
      </c>
      <c r="C860">
        <f>'PSP Data'!C863</f>
        <v>0</v>
      </c>
      <c r="D860">
        <f>'PSP Data'!D863</f>
        <v>0</v>
      </c>
      <c r="E860">
        <f>'PSP Data'!E863</f>
        <v>0</v>
      </c>
      <c r="F860">
        <f>'PSP Data'!F863</f>
        <v>0</v>
      </c>
      <c r="G860">
        <f>'PSP Data'!G863</f>
        <v>0</v>
      </c>
      <c r="H860">
        <f>'PSP Data'!H863</f>
        <v>0</v>
      </c>
      <c r="I860">
        <f>'PSP Data'!I863</f>
        <v>0</v>
      </c>
      <c r="J860" s="29" t="e">
        <f t="shared" si="65"/>
        <v>#N/A</v>
      </c>
      <c r="K860" s="29" t="e">
        <f>IF(AND((A860&lt;'PSP Data'!$C$11),(A860&lt;&gt;0)),Analysis!C860,#N/A)</f>
        <v>#N/A</v>
      </c>
      <c r="L860" t="e">
        <f>IF(VLOOKUP(B860,Table1[],4)=0,"unknown", VLOOKUP(B860,Table1[],4))</f>
        <v>#N/A</v>
      </c>
      <c r="M860">
        <v>1</v>
      </c>
      <c r="N860" t="e">
        <f t="shared" si="66"/>
        <v>#N/A</v>
      </c>
      <c r="O860" t="str">
        <f t="shared" si="67"/>
        <v/>
      </c>
      <c r="P860" t="str">
        <f t="shared" si="68"/>
        <v/>
      </c>
      <c r="Q860" t="str">
        <f t="shared" si="69"/>
        <v/>
      </c>
      <c r="R860">
        <v>1</v>
      </c>
    </row>
    <row r="861" spans="1:18">
      <c r="A861">
        <f>'PSP Data'!A864</f>
        <v>0</v>
      </c>
      <c r="B861" t="str">
        <f>IF('PSP Data'!B864=0,"",'PSP Data'!B864)</f>
        <v/>
      </c>
      <c r="C861">
        <f>'PSP Data'!C864</f>
        <v>0</v>
      </c>
      <c r="D861">
        <f>'PSP Data'!D864</f>
        <v>0</v>
      </c>
      <c r="E861">
        <f>'PSP Data'!E864</f>
        <v>0</v>
      </c>
      <c r="F861">
        <f>'PSP Data'!F864</f>
        <v>0</v>
      </c>
      <c r="G861">
        <f>'PSP Data'!G864</f>
        <v>0</v>
      </c>
      <c r="H861">
        <f>'PSP Data'!H864</f>
        <v>0</v>
      </c>
      <c r="I861">
        <f>'PSP Data'!I864</f>
        <v>0</v>
      </c>
      <c r="J861" s="29" t="e">
        <f t="shared" si="65"/>
        <v>#N/A</v>
      </c>
      <c r="K861" s="29" t="e">
        <f>IF(AND((A861&lt;'PSP Data'!$C$11),(A861&lt;&gt;0)),Analysis!C861,#N/A)</f>
        <v>#N/A</v>
      </c>
      <c r="L861" t="e">
        <f>IF(VLOOKUP(B861,Table1[],4)=0,"unknown", VLOOKUP(B861,Table1[],4))</f>
        <v>#N/A</v>
      </c>
      <c r="M861">
        <v>1</v>
      </c>
      <c r="N861" t="e">
        <f t="shared" si="66"/>
        <v>#N/A</v>
      </c>
      <c r="O861" t="str">
        <f t="shared" si="67"/>
        <v/>
      </c>
      <c r="P861" t="str">
        <f t="shared" si="68"/>
        <v/>
      </c>
      <c r="Q861" t="str">
        <f t="shared" si="69"/>
        <v/>
      </c>
      <c r="R861">
        <v>1</v>
      </c>
    </row>
    <row r="862" spans="1:18">
      <c r="A862">
        <f>'PSP Data'!A865</f>
        <v>0</v>
      </c>
      <c r="B862" t="str">
        <f>IF('PSP Data'!B865=0,"",'PSP Data'!B865)</f>
        <v/>
      </c>
      <c r="C862">
        <f>'PSP Data'!C865</f>
        <v>0</v>
      </c>
      <c r="D862">
        <f>'PSP Data'!D865</f>
        <v>0</v>
      </c>
      <c r="E862">
        <f>'PSP Data'!E865</f>
        <v>0</v>
      </c>
      <c r="F862">
        <f>'PSP Data'!F865</f>
        <v>0</v>
      </c>
      <c r="G862">
        <f>'PSP Data'!G865</f>
        <v>0</v>
      </c>
      <c r="H862">
        <f>'PSP Data'!H865</f>
        <v>0</v>
      </c>
      <c r="I862">
        <f>'PSP Data'!I865</f>
        <v>0</v>
      </c>
      <c r="J862" s="29" t="e">
        <f t="shared" si="65"/>
        <v>#N/A</v>
      </c>
      <c r="K862" s="29" t="e">
        <f>IF(AND((A862&lt;'PSP Data'!$C$11),(A862&lt;&gt;0)),Analysis!C862,#N/A)</f>
        <v>#N/A</v>
      </c>
      <c r="L862" t="e">
        <f>IF(VLOOKUP(B862,Table1[],4)=0,"unknown", VLOOKUP(B862,Table1[],4))</f>
        <v>#N/A</v>
      </c>
      <c r="M862">
        <v>1</v>
      </c>
      <c r="N862" t="e">
        <f t="shared" si="66"/>
        <v>#N/A</v>
      </c>
      <c r="O862" t="str">
        <f t="shared" si="67"/>
        <v/>
      </c>
      <c r="P862" t="str">
        <f t="shared" si="68"/>
        <v/>
      </c>
      <c r="Q862" t="str">
        <f t="shared" si="69"/>
        <v/>
      </c>
      <c r="R862">
        <v>1</v>
      </c>
    </row>
    <row r="863" spans="1:18">
      <c r="A863">
        <f>'PSP Data'!A866</f>
        <v>0</v>
      </c>
      <c r="B863" t="str">
        <f>IF('PSP Data'!B866=0,"",'PSP Data'!B866)</f>
        <v/>
      </c>
      <c r="C863">
        <f>'PSP Data'!C866</f>
        <v>0</v>
      </c>
      <c r="D863">
        <f>'PSP Data'!D866</f>
        <v>0</v>
      </c>
      <c r="E863">
        <f>'PSP Data'!E866</f>
        <v>0</v>
      </c>
      <c r="F863">
        <f>'PSP Data'!F866</f>
        <v>0</v>
      </c>
      <c r="G863">
        <f>'PSP Data'!G866</f>
        <v>0</v>
      </c>
      <c r="H863">
        <f>'PSP Data'!H866</f>
        <v>0</v>
      </c>
      <c r="I863">
        <f>'PSP Data'!I866</f>
        <v>0</v>
      </c>
      <c r="J863" s="29" t="e">
        <f t="shared" si="65"/>
        <v>#N/A</v>
      </c>
      <c r="K863" s="29" t="e">
        <f>IF(AND((A863&lt;'PSP Data'!$C$11),(A863&lt;&gt;0)),Analysis!C863,#N/A)</f>
        <v>#N/A</v>
      </c>
      <c r="L863" t="e">
        <f>IF(VLOOKUP(B863,Table1[],4)=0,"unknown", VLOOKUP(B863,Table1[],4))</f>
        <v>#N/A</v>
      </c>
      <c r="M863">
        <v>1</v>
      </c>
      <c r="N863" t="e">
        <f t="shared" si="66"/>
        <v>#N/A</v>
      </c>
      <c r="O863" t="str">
        <f t="shared" si="67"/>
        <v/>
      </c>
      <c r="P863" t="str">
        <f t="shared" si="68"/>
        <v/>
      </c>
      <c r="Q863" t="str">
        <f t="shared" si="69"/>
        <v/>
      </c>
      <c r="R863">
        <v>1</v>
      </c>
    </row>
    <row r="864" spans="1:18">
      <c r="A864">
        <f>'PSP Data'!A867</f>
        <v>0</v>
      </c>
      <c r="B864" t="str">
        <f>IF('PSP Data'!B867=0,"",'PSP Data'!B867)</f>
        <v/>
      </c>
      <c r="C864">
        <f>'PSP Data'!C867</f>
        <v>0</v>
      </c>
      <c r="D864">
        <f>'PSP Data'!D867</f>
        <v>0</v>
      </c>
      <c r="E864">
        <f>'PSP Data'!E867</f>
        <v>0</v>
      </c>
      <c r="F864">
        <f>'PSP Data'!F867</f>
        <v>0</v>
      </c>
      <c r="G864">
        <f>'PSP Data'!G867</f>
        <v>0</v>
      </c>
      <c r="H864">
        <f>'PSP Data'!H867</f>
        <v>0</v>
      </c>
      <c r="I864">
        <f>'PSP Data'!I867</f>
        <v>0</v>
      </c>
      <c r="J864" s="29" t="e">
        <f t="shared" si="65"/>
        <v>#N/A</v>
      </c>
      <c r="K864" s="29" t="e">
        <f>IF(AND((A864&lt;'PSP Data'!$C$11),(A864&lt;&gt;0)),Analysis!C864,#N/A)</f>
        <v>#N/A</v>
      </c>
      <c r="L864" t="e">
        <f>IF(VLOOKUP(B864,Table1[],4)=0,"unknown", VLOOKUP(B864,Table1[],4))</f>
        <v>#N/A</v>
      </c>
      <c r="M864">
        <v>1</v>
      </c>
      <c r="N864" t="e">
        <f t="shared" si="66"/>
        <v>#N/A</v>
      </c>
      <c r="O864" t="str">
        <f t="shared" si="67"/>
        <v/>
      </c>
      <c r="P864" t="str">
        <f t="shared" si="68"/>
        <v/>
      </c>
      <c r="Q864" t="str">
        <f t="shared" si="69"/>
        <v/>
      </c>
      <c r="R864">
        <v>1</v>
      </c>
    </row>
    <row r="865" spans="1:18">
      <c r="A865">
        <f>'PSP Data'!A868</f>
        <v>0</v>
      </c>
      <c r="B865" t="str">
        <f>IF('PSP Data'!B868=0,"",'PSP Data'!B868)</f>
        <v/>
      </c>
      <c r="C865">
        <f>'PSP Data'!C868</f>
        <v>0</v>
      </c>
      <c r="D865">
        <f>'PSP Data'!D868</f>
        <v>0</v>
      </c>
      <c r="E865">
        <f>'PSP Data'!E868</f>
        <v>0</v>
      </c>
      <c r="F865">
        <f>'PSP Data'!F868</f>
        <v>0</v>
      </c>
      <c r="G865">
        <f>'PSP Data'!G868</f>
        <v>0</v>
      </c>
      <c r="H865">
        <f>'PSP Data'!H868</f>
        <v>0</v>
      </c>
      <c r="I865">
        <f>'PSP Data'!I868</f>
        <v>0</v>
      </c>
      <c r="J865" s="29" t="e">
        <f t="shared" si="65"/>
        <v>#N/A</v>
      </c>
      <c r="K865" s="29" t="e">
        <f>IF(AND((A865&lt;'PSP Data'!$C$11),(A865&lt;&gt;0)),Analysis!C865,#N/A)</f>
        <v>#N/A</v>
      </c>
      <c r="L865" t="e">
        <f>IF(VLOOKUP(B865,Table1[],4)=0,"unknown", VLOOKUP(B865,Table1[],4))</f>
        <v>#N/A</v>
      </c>
      <c r="M865">
        <v>1</v>
      </c>
      <c r="N865" t="e">
        <f t="shared" si="66"/>
        <v>#N/A</v>
      </c>
      <c r="O865" t="str">
        <f t="shared" si="67"/>
        <v/>
      </c>
      <c r="P865" t="str">
        <f t="shared" si="68"/>
        <v/>
      </c>
      <c r="Q865" t="str">
        <f t="shared" si="69"/>
        <v/>
      </c>
      <c r="R865">
        <v>1</v>
      </c>
    </row>
    <row r="866" spans="1:18">
      <c r="A866">
        <f>'PSP Data'!A869</f>
        <v>0</v>
      </c>
      <c r="B866" t="str">
        <f>IF('PSP Data'!B869=0,"",'PSP Data'!B869)</f>
        <v/>
      </c>
      <c r="C866">
        <f>'PSP Data'!C869</f>
        <v>0</v>
      </c>
      <c r="D866">
        <f>'PSP Data'!D869</f>
        <v>0</v>
      </c>
      <c r="E866">
        <f>'PSP Data'!E869</f>
        <v>0</v>
      </c>
      <c r="F866">
        <f>'PSP Data'!F869</f>
        <v>0</v>
      </c>
      <c r="G866">
        <f>'PSP Data'!G869</f>
        <v>0</v>
      </c>
      <c r="H866">
        <f>'PSP Data'!H869</f>
        <v>0</v>
      </c>
      <c r="I866">
        <f>'PSP Data'!I869</f>
        <v>0</v>
      </c>
      <c r="J866" s="29" t="e">
        <f t="shared" si="65"/>
        <v>#N/A</v>
      </c>
      <c r="K866" s="29" t="e">
        <f>IF(AND((A866&lt;'PSP Data'!$C$11),(A866&lt;&gt;0)),Analysis!C866,#N/A)</f>
        <v>#N/A</v>
      </c>
      <c r="L866" t="e">
        <f>IF(VLOOKUP(B866,Table1[],4)=0,"unknown", VLOOKUP(B866,Table1[],4))</f>
        <v>#N/A</v>
      </c>
      <c r="M866">
        <v>1</v>
      </c>
      <c r="N866" t="e">
        <f t="shared" si="66"/>
        <v>#N/A</v>
      </c>
      <c r="O866" t="str">
        <f t="shared" si="67"/>
        <v/>
      </c>
      <c r="P866" t="str">
        <f t="shared" si="68"/>
        <v/>
      </c>
      <c r="Q866" t="str">
        <f t="shared" si="69"/>
        <v/>
      </c>
      <c r="R866">
        <v>1</v>
      </c>
    </row>
    <row r="867" spans="1:18">
      <c r="A867">
        <f>'PSP Data'!A870</f>
        <v>0</v>
      </c>
      <c r="B867" t="str">
        <f>IF('PSP Data'!B870=0,"",'PSP Data'!B870)</f>
        <v/>
      </c>
      <c r="C867">
        <f>'PSP Data'!C870</f>
        <v>0</v>
      </c>
      <c r="D867">
        <f>'PSP Data'!D870</f>
        <v>0</v>
      </c>
      <c r="E867">
        <f>'PSP Data'!E870</f>
        <v>0</v>
      </c>
      <c r="F867">
        <f>'PSP Data'!F870</f>
        <v>0</v>
      </c>
      <c r="G867">
        <f>'PSP Data'!G870</f>
        <v>0</v>
      </c>
      <c r="H867">
        <f>'PSP Data'!H870</f>
        <v>0</v>
      </c>
      <c r="I867">
        <f>'PSP Data'!I870</f>
        <v>0</v>
      </c>
      <c r="J867" s="29" t="e">
        <f t="shared" si="65"/>
        <v>#N/A</v>
      </c>
      <c r="K867" s="29" t="e">
        <f>IF(AND((A867&lt;'PSP Data'!$C$11),(A867&lt;&gt;0)),Analysis!C867,#N/A)</f>
        <v>#N/A</v>
      </c>
      <c r="L867" t="e">
        <f>IF(VLOOKUP(B867,Table1[],4)=0,"unknown", VLOOKUP(B867,Table1[],4))</f>
        <v>#N/A</v>
      </c>
      <c r="M867">
        <v>1</v>
      </c>
      <c r="N867" t="e">
        <f t="shared" si="66"/>
        <v>#N/A</v>
      </c>
      <c r="O867" t="str">
        <f t="shared" si="67"/>
        <v/>
      </c>
      <c r="P867" t="str">
        <f t="shared" si="68"/>
        <v/>
      </c>
      <c r="Q867" t="str">
        <f t="shared" si="69"/>
        <v/>
      </c>
      <c r="R867">
        <v>1</v>
      </c>
    </row>
    <row r="868" spans="1:18">
      <c r="A868">
        <f>'PSP Data'!A871</f>
        <v>0</v>
      </c>
      <c r="B868" t="str">
        <f>IF('PSP Data'!B871=0,"",'PSP Data'!B871)</f>
        <v/>
      </c>
      <c r="C868">
        <f>'PSP Data'!C871</f>
        <v>0</v>
      </c>
      <c r="D868">
        <f>'PSP Data'!D871</f>
        <v>0</v>
      </c>
      <c r="E868">
        <f>'PSP Data'!E871</f>
        <v>0</v>
      </c>
      <c r="F868">
        <f>'PSP Data'!F871</f>
        <v>0</v>
      </c>
      <c r="G868">
        <f>'PSP Data'!G871</f>
        <v>0</v>
      </c>
      <c r="H868">
        <f>'PSP Data'!H871</f>
        <v>0</v>
      </c>
      <c r="I868">
        <f>'PSP Data'!I871</f>
        <v>0</v>
      </c>
      <c r="J868" s="29" t="e">
        <f t="shared" si="65"/>
        <v>#N/A</v>
      </c>
      <c r="K868" s="29" t="e">
        <f>IF(AND((A868&lt;'PSP Data'!$C$11),(A868&lt;&gt;0)),Analysis!C868,#N/A)</f>
        <v>#N/A</v>
      </c>
      <c r="L868" t="e">
        <f>IF(VLOOKUP(B868,Table1[],4)=0,"unknown", VLOOKUP(B868,Table1[],4))</f>
        <v>#N/A</v>
      </c>
      <c r="M868">
        <v>1</v>
      </c>
      <c r="N868" t="e">
        <f t="shared" si="66"/>
        <v>#N/A</v>
      </c>
      <c r="O868" t="str">
        <f t="shared" si="67"/>
        <v/>
      </c>
      <c r="P868" t="str">
        <f t="shared" si="68"/>
        <v/>
      </c>
      <c r="Q868" t="str">
        <f t="shared" si="69"/>
        <v/>
      </c>
      <c r="R868">
        <v>1</v>
      </c>
    </row>
    <row r="869" spans="1:18">
      <c r="A869">
        <f>'PSP Data'!A872</f>
        <v>0</v>
      </c>
      <c r="B869" t="str">
        <f>IF('PSP Data'!B872=0,"",'PSP Data'!B872)</f>
        <v/>
      </c>
      <c r="C869">
        <f>'PSP Data'!C872</f>
        <v>0</v>
      </c>
      <c r="D869">
        <f>'PSP Data'!D872</f>
        <v>0</v>
      </c>
      <c r="E869">
        <f>'PSP Data'!E872</f>
        <v>0</v>
      </c>
      <c r="F869">
        <f>'PSP Data'!F872</f>
        <v>0</v>
      </c>
      <c r="G869">
        <f>'PSP Data'!G872</f>
        <v>0</v>
      </c>
      <c r="H869">
        <f>'PSP Data'!H872</f>
        <v>0</v>
      </c>
      <c r="I869">
        <f>'PSP Data'!I872</f>
        <v>0</v>
      </c>
      <c r="J869" s="29" t="e">
        <f t="shared" si="65"/>
        <v>#N/A</v>
      </c>
      <c r="K869" s="29" t="e">
        <f>IF(AND((A869&lt;'PSP Data'!$C$11),(A869&lt;&gt;0)),Analysis!C869,#N/A)</f>
        <v>#N/A</v>
      </c>
      <c r="L869" t="e">
        <f>IF(VLOOKUP(B869,Table1[],4)=0,"unknown", VLOOKUP(B869,Table1[],4))</f>
        <v>#N/A</v>
      </c>
      <c r="M869">
        <v>1</v>
      </c>
      <c r="N869" t="e">
        <f t="shared" si="66"/>
        <v>#N/A</v>
      </c>
      <c r="O869" t="str">
        <f t="shared" si="67"/>
        <v/>
      </c>
      <c r="P869" t="str">
        <f t="shared" si="68"/>
        <v/>
      </c>
      <c r="Q869" t="str">
        <f t="shared" si="69"/>
        <v/>
      </c>
      <c r="R869">
        <v>1</v>
      </c>
    </row>
    <row r="870" spans="1:18">
      <c r="A870">
        <f>'PSP Data'!A873</f>
        <v>0</v>
      </c>
      <c r="B870" t="str">
        <f>IF('PSP Data'!B873=0,"",'PSP Data'!B873)</f>
        <v/>
      </c>
      <c r="C870">
        <f>'PSP Data'!C873</f>
        <v>0</v>
      </c>
      <c r="D870">
        <f>'PSP Data'!D873</f>
        <v>0</v>
      </c>
      <c r="E870">
        <f>'PSP Data'!E873</f>
        <v>0</v>
      </c>
      <c r="F870">
        <f>'PSP Data'!F873</f>
        <v>0</v>
      </c>
      <c r="G870">
        <f>'PSP Data'!G873</f>
        <v>0</v>
      </c>
      <c r="H870">
        <f>'PSP Data'!H873</f>
        <v>0</v>
      </c>
      <c r="I870">
        <f>'PSP Data'!I873</f>
        <v>0</v>
      </c>
      <c r="J870" s="29" t="e">
        <f t="shared" si="65"/>
        <v>#N/A</v>
      </c>
      <c r="K870" s="29" t="e">
        <f>IF(AND((A870&lt;'PSP Data'!$C$11),(A870&lt;&gt;0)),Analysis!C870,#N/A)</f>
        <v>#N/A</v>
      </c>
      <c r="L870" t="e">
        <f>IF(VLOOKUP(B870,Table1[],4)=0,"unknown", VLOOKUP(B870,Table1[],4))</f>
        <v>#N/A</v>
      </c>
      <c r="M870">
        <v>1</v>
      </c>
      <c r="N870" t="e">
        <f t="shared" si="66"/>
        <v>#N/A</v>
      </c>
      <c r="O870" t="str">
        <f t="shared" si="67"/>
        <v/>
      </c>
      <c r="P870" t="str">
        <f t="shared" si="68"/>
        <v/>
      </c>
      <c r="Q870" t="str">
        <f t="shared" si="69"/>
        <v/>
      </c>
      <c r="R870">
        <v>1</v>
      </c>
    </row>
    <row r="871" spans="1:18">
      <c r="A871">
        <f>'PSP Data'!A874</f>
        <v>0</v>
      </c>
      <c r="B871" t="str">
        <f>IF('PSP Data'!B874=0,"",'PSP Data'!B874)</f>
        <v/>
      </c>
      <c r="C871">
        <f>'PSP Data'!C874</f>
        <v>0</v>
      </c>
      <c r="D871">
        <f>'PSP Data'!D874</f>
        <v>0</v>
      </c>
      <c r="E871">
        <f>'PSP Data'!E874</f>
        <v>0</v>
      </c>
      <c r="F871">
        <f>'PSP Data'!F874</f>
        <v>0</v>
      </c>
      <c r="G871">
        <f>'PSP Data'!G874</f>
        <v>0</v>
      </c>
      <c r="H871">
        <f>'PSP Data'!H874</f>
        <v>0</v>
      </c>
      <c r="I871">
        <f>'PSP Data'!I874</f>
        <v>0</v>
      </c>
      <c r="J871" s="29" t="e">
        <f t="shared" si="65"/>
        <v>#N/A</v>
      </c>
      <c r="K871" s="29" t="e">
        <f>IF(AND((A871&lt;'PSP Data'!$C$11),(A871&lt;&gt;0)),Analysis!C871,#N/A)</f>
        <v>#N/A</v>
      </c>
      <c r="L871" t="e">
        <f>IF(VLOOKUP(B871,Table1[],4)=0,"unknown", VLOOKUP(B871,Table1[],4))</f>
        <v>#N/A</v>
      </c>
      <c r="M871">
        <v>1</v>
      </c>
      <c r="N871" t="e">
        <f t="shared" si="66"/>
        <v>#N/A</v>
      </c>
      <c r="O871" t="str">
        <f t="shared" si="67"/>
        <v/>
      </c>
      <c r="P871" t="str">
        <f t="shared" si="68"/>
        <v/>
      </c>
      <c r="Q871" t="str">
        <f t="shared" si="69"/>
        <v/>
      </c>
      <c r="R871">
        <v>1</v>
      </c>
    </row>
    <row r="872" spans="1:18">
      <c r="A872">
        <f>'PSP Data'!A875</f>
        <v>0</v>
      </c>
      <c r="B872" t="str">
        <f>IF('PSP Data'!B875=0,"",'PSP Data'!B875)</f>
        <v/>
      </c>
      <c r="C872">
        <f>'PSP Data'!C875</f>
        <v>0</v>
      </c>
      <c r="D872">
        <f>'PSP Data'!D875</f>
        <v>0</v>
      </c>
      <c r="E872">
        <f>'PSP Data'!E875</f>
        <v>0</v>
      </c>
      <c r="F872">
        <f>'PSP Data'!F875</f>
        <v>0</v>
      </c>
      <c r="G872">
        <f>'PSP Data'!G875</f>
        <v>0</v>
      </c>
      <c r="H872">
        <f>'PSP Data'!H875</f>
        <v>0</v>
      </c>
      <c r="I872">
        <f>'PSP Data'!I875</f>
        <v>0</v>
      </c>
      <c r="J872" s="29" t="e">
        <f t="shared" si="65"/>
        <v>#N/A</v>
      </c>
      <c r="K872" s="29" t="e">
        <f>IF(AND((A872&lt;'PSP Data'!$C$11),(A872&lt;&gt;0)),Analysis!C872,#N/A)</f>
        <v>#N/A</v>
      </c>
      <c r="L872" t="e">
        <f>IF(VLOOKUP(B872,Table1[],4)=0,"unknown", VLOOKUP(B872,Table1[],4))</f>
        <v>#N/A</v>
      </c>
      <c r="M872">
        <v>1</v>
      </c>
      <c r="N872" t="e">
        <f t="shared" si="66"/>
        <v>#N/A</v>
      </c>
      <c r="O872" t="str">
        <f t="shared" si="67"/>
        <v/>
      </c>
      <c r="P872" t="str">
        <f t="shared" si="68"/>
        <v/>
      </c>
      <c r="Q872" t="str">
        <f t="shared" si="69"/>
        <v/>
      </c>
      <c r="R872">
        <v>1</v>
      </c>
    </row>
    <row r="873" spans="1:18">
      <c r="A873">
        <f>'PSP Data'!A876</f>
        <v>0</v>
      </c>
      <c r="B873" t="str">
        <f>IF('PSP Data'!B876=0,"",'PSP Data'!B876)</f>
        <v/>
      </c>
      <c r="C873">
        <f>'PSP Data'!C876</f>
        <v>0</v>
      </c>
      <c r="D873">
        <f>'PSP Data'!D876</f>
        <v>0</v>
      </c>
      <c r="E873">
        <f>'PSP Data'!E876</f>
        <v>0</v>
      </c>
      <c r="F873">
        <f>'PSP Data'!F876</f>
        <v>0</v>
      </c>
      <c r="G873">
        <f>'PSP Data'!G876</f>
        <v>0</v>
      </c>
      <c r="H873">
        <f>'PSP Data'!H876</f>
        <v>0</v>
      </c>
      <c r="I873">
        <f>'PSP Data'!I876</f>
        <v>0</v>
      </c>
      <c r="J873" s="29" t="e">
        <f t="shared" si="65"/>
        <v>#N/A</v>
      </c>
      <c r="K873" s="29" t="e">
        <f>IF(AND((A873&lt;'PSP Data'!$C$11),(A873&lt;&gt;0)),Analysis!C873,#N/A)</f>
        <v>#N/A</v>
      </c>
      <c r="L873" t="e">
        <f>IF(VLOOKUP(B873,Table1[],4)=0,"unknown", VLOOKUP(B873,Table1[],4))</f>
        <v>#N/A</v>
      </c>
      <c r="M873">
        <v>1</v>
      </c>
      <c r="N873" t="e">
        <f t="shared" si="66"/>
        <v>#N/A</v>
      </c>
      <c r="O873" t="str">
        <f t="shared" si="67"/>
        <v/>
      </c>
      <c r="P873" t="str">
        <f t="shared" si="68"/>
        <v/>
      </c>
      <c r="Q873" t="str">
        <f t="shared" si="69"/>
        <v/>
      </c>
      <c r="R873">
        <v>1</v>
      </c>
    </row>
    <row r="874" spans="1:18">
      <c r="A874">
        <f>'PSP Data'!A877</f>
        <v>0</v>
      </c>
      <c r="B874" t="str">
        <f>IF('PSP Data'!B877=0,"",'PSP Data'!B877)</f>
        <v/>
      </c>
      <c r="C874">
        <f>'PSP Data'!C877</f>
        <v>0</v>
      </c>
      <c r="D874">
        <f>'PSP Data'!D877</f>
        <v>0</v>
      </c>
      <c r="E874">
        <f>'PSP Data'!E877</f>
        <v>0</v>
      </c>
      <c r="F874">
        <f>'PSP Data'!F877</f>
        <v>0</v>
      </c>
      <c r="G874">
        <f>'PSP Data'!G877</f>
        <v>0</v>
      </c>
      <c r="H874">
        <f>'PSP Data'!H877</f>
        <v>0</v>
      </c>
      <c r="I874">
        <f>'PSP Data'!I877</f>
        <v>0</v>
      </c>
      <c r="J874" s="29" t="e">
        <f t="shared" si="65"/>
        <v>#N/A</v>
      </c>
      <c r="K874" s="29" t="e">
        <f>IF(AND((A874&lt;'PSP Data'!$C$11),(A874&lt;&gt;0)),Analysis!C874,#N/A)</f>
        <v>#N/A</v>
      </c>
      <c r="L874" t="e">
        <f>IF(VLOOKUP(B874,Table1[],4)=0,"unknown", VLOOKUP(B874,Table1[],4))</f>
        <v>#N/A</v>
      </c>
      <c r="M874">
        <v>1</v>
      </c>
      <c r="N874" t="e">
        <f t="shared" si="66"/>
        <v>#N/A</v>
      </c>
      <c r="O874" t="str">
        <f t="shared" si="67"/>
        <v/>
      </c>
      <c r="P874" t="str">
        <f t="shared" si="68"/>
        <v/>
      </c>
      <c r="Q874" t="str">
        <f t="shared" si="69"/>
        <v/>
      </c>
      <c r="R874">
        <v>1</v>
      </c>
    </row>
    <row r="875" spans="1:18">
      <c r="A875">
        <f>'PSP Data'!A878</f>
        <v>0</v>
      </c>
      <c r="B875" t="str">
        <f>IF('PSP Data'!B878=0,"",'PSP Data'!B878)</f>
        <v/>
      </c>
      <c r="C875">
        <f>'PSP Data'!C878</f>
        <v>0</v>
      </c>
      <c r="D875">
        <f>'PSP Data'!D878</f>
        <v>0</v>
      </c>
      <c r="E875">
        <f>'PSP Data'!E878</f>
        <v>0</v>
      </c>
      <c r="F875">
        <f>'PSP Data'!F878</f>
        <v>0</v>
      </c>
      <c r="G875">
        <f>'PSP Data'!G878</f>
        <v>0</v>
      </c>
      <c r="H875">
        <f>'PSP Data'!H878</f>
        <v>0</v>
      </c>
      <c r="I875">
        <f>'PSP Data'!I878</f>
        <v>0</v>
      </c>
      <c r="J875" s="29" t="e">
        <f t="shared" si="65"/>
        <v>#N/A</v>
      </c>
      <c r="K875" s="29" t="e">
        <f>IF(AND((A875&lt;'PSP Data'!$C$11),(A875&lt;&gt;0)),Analysis!C875,#N/A)</f>
        <v>#N/A</v>
      </c>
      <c r="L875" t="e">
        <f>IF(VLOOKUP(B875,Table1[],4)=0,"unknown", VLOOKUP(B875,Table1[],4))</f>
        <v>#N/A</v>
      </c>
      <c r="M875">
        <v>1</v>
      </c>
      <c r="N875" t="e">
        <f t="shared" si="66"/>
        <v>#N/A</v>
      </c>
      <c r="O875" t="str">
        <f t="shared" si="67"/>
        <v/>
      </c>
      <c r="P875" t="str">
        <f t="shared" si="68"/>
        <v/>
      </c>
      <c r="Q875" t="str">
        <f t="shared" si="69"/>
        <v/>
      </c>
      <c r="R875">
        <v>1</v>
      </c>
    </row>
    <row r="876" spans="1:18">
      <c r="A876">
        <f>'PSP Data'!A879</f>
        <v>0</v>
      </c>
      <c r="B876" t="str">
        <f>IF('PSP Data'!B879=0,"",'PSP Data'!B879)</f>
        <v/>
      </c>
      <c r="C876">
        <f>'PSP Data'!C879</f>
        <v>0</v>
      </c>
      <c r="D876">
        <f>'PSP Data'!D879</f>
        <v>0</v>
      </c>
      <c r="E876">
        <f>'PSP Data'!E879</f>
        <v>0</v>
      </c>
      <c r="F876">
        <f>'PSP Data'!F879</f>
        <v>0</v>
      </c>
      <c r="G876">
        <f>'PSP Data'!G879</f>
        <v>0</v>
      </c>
      <c r="H876">
        <f>'PSP Data'!H879</f>
        <v>0</v>
      </c>
      <c r="I876">
        <f>'PSP Data'!I879</f>
        <v>0</v>
      </c>
      <c r="J876" s="29" t="e">
        <f t="shared" si="65"/>
        <v>#N/A</v>
      </c>
      <c r="K876" s="29" t="e">
        <f>IF(AND((A876&lt;'PSP Data'!$C$11),(A876&lt;&gt;0)),Analysis!C876,#N/A)</f>
        <v>#N/A</v>
      </c>
      <c r="L876" t="e">
        <f>IF(VLOOKUP(B876,Table1[],4)=0,"unknown", VLOOKUP(B876,Table1[],4))</f>
        <v>#N/A</v>
      </c>
      <c r="M876">
        <v>1</v>
      </c>
      <c r="N876" t="e">
        <f t="shared" si="66"/>
        <v>#N/A</v>
      </c>
      <c r="O876" t="str">
        <f t="shared" si="67"/>
        <v/>
      </c>
      <c r="P876" t="str">
        <f t="shared" si="68"/>
        <v/>
      </c>
      <c r="Q876" t="str">
        <f t="shared" si="69"/>
        <v/>
      </c>
      <c r="R876">
        <v>1</v>
      </c>
    </row>
    <row r="877" spans="1:18">
      <c r="A877">
        <f>'PSP Data'!A880</f>
        <v>0</v>
      </c>
      <c r="B877" t="str">
        <f>IF('PSP Data'!B880=0,"",'PSP Data'!B880)</f>
        <v/>
      </c>
      <c r="C877">
        <f>'PSP Data'!C880</f>
        <v>0</v>
      </c>
      <c r="D877">
        <f>'PSP Data'!D880</f>
        <v>0</v>
      </c>
      <c r="E877">
        <f>'PSP Data'!E880</f>
        <v>0</v>
      </c>
      <c r="F877">
        <f>'PSP Data'!F880</f>
        <v>0</v>
      </c>
      <c r="G877">
        <f>'PSP Data'!G880</f>
        <v>0</v>
      </c>
      <c r="H877">
        <f>'PSP Data'!H880</f>
        <v>0</v>
      </c>
      <c r="I877">
        <f>'PSP Data'!I880</f>
        <v>0</v>
      </c>
      <c r="J877" s="29" t="e">
        <f t="shared" si="65"/>
        <v>#N/A</v>
      </c>
      <c r="K877" s="29" t="e">
        <f>IF(AND((A877&lt;'PSP Data'!$C$11),(A877&lt;&gt;0)),Analysis!C877,#N/A)</f>
        <v>#N/A</v>
      </c>
      <c r="L877" t="e">
        <f>IF(VLOOKUP(B877,Table1[],4)=0,"unknown", VLOOKUP(B877,Table1[],4))</f>
        <v>#N/A</v>
      </c>
      <c r="M877">
        <v>1</v>
      </c>
      <c r="N877" t="e">
        <f t="shared" si="66"/>
        <v>#N/A</v>
      </c>
      <c r="O877" t="str">
        <f t="shared" si="67"/>
        <v/>
      </c>
      <c r="P877" t="str">
        <f t="shared" si="68"/>
        <v/>
      </c>
      <c r="Q877" t="str">
        <f t="shared" si="69"/>
        <v/>
      </c>
      <c r="R877">
        <v>1</v>
      </c>
    </row>
    <row r="878" spans="1:18">
      <c r="A878">
        <f>'PSP Data'!A881</f>
        <v>0</v>
      </c>
      <c r="B878" t="str">
        <f>IF('PSP Data'!B881=0,"",'PSP Data'!B881)</f>
        <v/>
      </c>
      <c r="C878">
        <f>'PSP Data'!C881</f>
        <v>0</v>
      </c>
      <c r="D878">
        <f>'PSP Data'!D881</f>
        <v>0</v>
      </c>
      <c r="E878">
        <f>'PSP Data'!E881</f>
        <v>0</v>
      </c>
      <c r="F878">
        <f>'PSP Data'!F881</f>
        <v>0</v>
      </c>
      <c r="G878">
        <f>'PSP Data'!G881</f>
        <v>0</v>
      </c>
      <c r="H878">
        <f>'PSP Data'!H881</f>
        <v>0</v>
      </c>
      <c r="I878">
        <f>'PSP Data'!I881</f>
        <v>0</v>
      </c>
      <c r="J878" s="29" t="e">
        <f t="shared" si="65"/>
        <v>#N/A</v>
      </c>
      <c r="K878" s="29" t="e">
        <f>IF(AND((A878&lt;'PSP Data'!$C$11),(A878&lt;&gt;0)),Analysis!C878,#N/A)</f>
        <v>#N/A</v>
      </c>
      <c r="L878" t="e">
        <f>IF(VLOOKUP(B878,Table1[],4)=0,"unknown", VLOOKUP(B878,Table1[],4))</f>
        <v>#N/A</v>
      </c>
      <c r="M878">
        <v>1</v>
      </c>
      <c r="N878" t="e">
        <f t="shared" si="66"/>
        <v>#N/A</v>
      </c>
      <c r="O878" t="str">
        <f t="shared" si="67"/>
        <v/>
      </c>
      <c r="P878" t="str">
        <f t="shared" si="68"/>
        <v/>
      </c>
      <c r="Q878" t="str">
        <f t="shared" si="69"/>
        <v/>
      </c>
      <c r="R878">
        <v>1</v>
      </c>
    </row>
    <row r="879" spans="1:18">
      <c r="A879">
        <f>'PSP Data'!A882</f>
        <v>0</v>
      </c>
      <c r="B879" t="str">
        <f>IF('PSP Data'!B882=0,"",'PSP Data'!B882)</f>
        <v/>
      </c>
      <c r="C879">
        <f>'PSP Data'!C882</f>
        <v>0</v>
      </c>
      <c r="D879">
        <f>'PSP Data'!D882</f>
        <v>0</v>
      </c>
      <c r="E879">
        <f>'PSP Data'!E882</f>
        <v>0</v>
      </c>
      <c r="F879">
        <f>'PSP Data'!F882</f>
        <v>0</v>
      </c>
      <c r="G879">
        <f>'PSP Data'!G882</f>
        <v>0</v>
      </c>
      <c r="H879">
        <f>'PSP Data'!H882</f>
        <v>0</v>
      </c>
      <c r="I879">
        <f>'PSP Data'!I882</f>
        <v>0</v>
      </c>
      <c r="J879" s="29" t="e">
        <f t="shared" si="65"/>
        <v>#N/A</v>
      </c>
      <c r="K879" s="29" t="e">
        <f>IF(AND((A879&lt;'PSP Data'!$C$11),(A879&lt;&gt;0)),Analysis!C879,#N/A)</f>
        <v>#N/A</v>
      </c>
      <c r="L879" t="e">
        <f>IF(VLOOKUP(B879,Table1[],4)=0,"unknown", VLOOKUP(B879,Table1[],4))</f>
        <v>#N/A</v>
      </c>
      <c r="M879">
        <v>1</v>
      </c>
      <c r="N879" t="e">
        <f t="shared" si="66"/>
        <v>#N/A</v>
      </c>
      <c r="O879" t="str">
        <f t="shared" si="67"/>
        <v/>
      </c>
      <c r="P879" t="str">
        <f t="shared" si="68"/>
        <v/>
      </c>
      <c r="Q879" t="str">
        <f t="shared" si="69"/>
        <v/>
      </c>
      <c r="R879">
        <v>1</v>
      </c>
    </row>
    <row r="880" spans="1:18">
      <c r="A880">
        <f>'PSP Data'!A883</f>
        <v>0</v>
      </c>
      <c r="B880" t="str">
        <f>IF('PSP Data'!B883=0,"",'PSP Data'!B883)</f>
        <v/>
      </c>
      <c r="C880">
        <f>'PSP Data'!C883</f>
        <v>0</v>
      </c>
      <c r="D880">
        <f>'PSP Data'!D883</f>
        <v>0</v>
      </c>
      <c r="E880">
        <f>'PSP Data'!E883</f>
        <v>0</v>
      </c>
      <c r="F880">
        <f>'PSP Data'!F883</f>
        <v>0</v>
      </c>
      <c r="G880">
        <f>'PSP Data'!G883</f>
        <v>0</v>
      </c>
      <c r="H880">
        <f>'PSP Data'!H883</f>
        <v>0</v>
      </c>
      <c r="I880">
        <f>'PSP Data'!I883</f>
        <v>0</v>
      </c>
      <c r="J880" s="29" t="e">
        <f t="shared" si="65"/>
        <v>#N/A</v>
      </c>
      <c r="K880" s="29" t="e">
        <f>IF(AND((A880&lt;'PSP Data'!$C$11),(A880&lt;&gt;0)),Analysis!C880,#N/A)</f>
        <v>#N/A</v>
      </c>
      <c r="L880" t="e">
        <f>IF(VLOOKUP(B880,Table1[],4)=0,"unknown", VLOOKUP(B880,Table1[],4))</f>
        <v>#N/A</v>
      </c>
      <c r="M880">
        <v>1</v>
      </c>
      <c r="N880" t="e">
        <f t="shared" si="66"/>
        <v>#N/A</v>
      </c>
      <c r="O880" t="str">
        <f t="shared" si="67"/>
        <v/>
      </c>
      <c r="P880" t="str">
        <f t="shared" si="68"/>
        <v/>
      </c>
      <c r="Q880" t="str">
        <f t="shared" si="69"/>
        <v/>
      </c>
      <c r="R880">
        <v>1</v>
      </c>
    </row>
    <row r="881" spans="1:18">
      <c r="A881">
        <f>'PSP Data'!A884</f>
        <v>0</v>
      </c>
      <c r="B881" t="str">
        <f>IF('PSP Data'!B884=0,"",'PSP Data'!B884)</f>
        <v/>
      </c>
      <c r="C881">
        <f>'PSP Data'!C884</f>
        <v>0</v>
      </c>
      <c r="D881">
        <f>'PSP Data'!D884</f>
        <v>0</v>
      </c>
      <c r="E881">
        <f>'PSP Data'!E884</f>
        <v>0</v>
      </c>
      <c r="F881">
        <f>'PSP Data'!F884</f>
        <v>0</v>
      </c>
      <c r="G881">
        <f>'PSP Data'!G884</f>
        <v>0</v>
      </c>
      <c r="H881">
        <f>'PSP Data'!H884</f>
        <v>0</v>
      </c>
      <c r="I881">
        <f>'PSP Data'!I884</f>
        <v>0</v>
      </c>
      <c r="J881" s="29" t="e">
        <f t="shared" si="65"/>
        <v>#N/A</v>
      </c>
      <c r="K881" s="29" t="e">
        <f>IF(AND((A881&lt;'PSP Data'!$C$11),(A881&lt;&gt;0)),Analysis!C881,#N/A)</f>
        <v>#N/A</v>
      </c>
      <c r="L881" t="e">
        <f>IF(VLOOKUP(B881,Table1[],4)=0,"unknown", VLOOKUP(B881,Table1[],4))</f>
        <v>#N/A</v>
      </c>
      <c r="M881">
        <v>1</v>
      </c>
      <c r="N881" t="e">
        <f t="shared" si="66"/>
        <v>#N/A</v>
      </c>
      <c r="O881" t="str">
        <f t="shared" si="67"/>
        <v/>
      </c>
      <c r="P881" t="str">
        <f t="shared" si="68"/>
        <v/>
      </c>
      <c r="Q881" t="str">
        <f t="shared" si="69"/>
        <v/>
      </c>
      <c r="R881">
        <v>1</v>
      </c>
    </row>
    <row r="882" spans="1:18">
      <c r="A882">
        <f>'PSP Data'!A885</f>
        <v>0</v>
      </c>
      <c r="B882" t="str">
        <f>IF('PSP Data'!B885=0,"",'PSP Data'!B885)</f>
        <v/>
      </c>
      <c r="C882">
        <f>'PSP Data'!C885</f>
        <v>0</v>
      </c>
      <c r="D882">
        <f>'PSP Data'!D885</f>
        <v>0</v>
      </c>
      <c r="E882">
        <f>'PSP Data'!E885</f>
        <v>0</v>
      </c>
      <c r="F882">
        <f>'PSP Data'!F885</f>
        <v>0</v>
      </c>
      <c r="G882">
        <f>'PSP Data'!G885</f>
        <v>0</v>
      </c>
      <c r="H882">
        <f>'PSP Data'!H885</f>
        <v>0</v>
      </c>
      <c r="I882">
        <f>'PSP Data'!I885</f>
        <v>0</v>
      </c>
      <c r="J882" s="29" t="e">
        <f t="shared" si="65"/>
        <v>#N/A</v>
      </c>
      <c r="K882" s="29" t="e">
        <f>IF(AND((A882&lt;'PSP Data'!$C$11),(A882&lt;&gt;0)),Analysis!C882,#N/A)</f>
        <v>#N/A</v>
      </c>
      <c r="L882" t="e">
        <f>IF(VLOOKUP(B882,Table1[],4)=0,"unknown", VLOOKUP(B882,Table1[],4))</f>
        <v>#N/A</v>
      </c>
      <c r="M882">
        <v>1</v>
      </c>
      <c r="N882" t="e">
        <f t="shared" si="66"/>
        <v>#N/A</v>
      </c>
      <c r="O882" t="str">
        <f t="shared" si="67"/>
        <v/>
      </c>
      <c r="P882" t="str">
        <f t="shared" si="68"/>
        <v/>
      </c>
      <c r="Q882" t="str">
        <f t="shared" si="69"/>
        <v/>
      </c>
      <c r="R882">
        <v>1</v>
      </c>
    </row>
    <row r="883" spans="1:18">
      <c r="A883">
        <f>'PSP Data'!A886</f>
        <v>0</v>
      </c>
      <c r="B883" t="str">
        <f>IF('PSP Data'!B886=0,"",'PSP Data'!B886)</f>
        <v/>
      </c>
      <c r="C883">
        <f>'PSP Data'!C886</f>
        <v>0</v>
      </c>
      <c r="D883">
        <f>'PSP Data'!D886</f>
        <v>0</v>
      </c>
      <c r="E883">
        <f>'PSP Data'!E886</f>
        <v>0</v>
      </c>
      <c r="F883">
        <f>'PSP Data'!F886</f>
        <v>0</v>
      </c>
      <c r="G883">
        <f>'PSP Data'!G886</f>
        <v>0</v>
      </c>
      <c r="H883">
        <f>'PSP Data'!H886</f>
        <v>0</v>
      </c>
      <c r="I883">
        <f>'PSP Data'!I886</f>
        <v>0</v>
      </c>
      <c r="J883" s="29" t="e">
        <f t="shared" si="65"/>
        <v>#N/A</v>
      </c>
      <c r="K883" s="29" t="e">
        <f>IF(AND((A883&lt;'PSP Data'!$C$11),(A883&lt;&gt;0)),Analysis!C883,#N/A)</f>
        <v>#N/A</v>
      </c>
      <c r="L883" t="e">
        <f>IF(VLOOKUP(B883,Table1[],4)=0,"unknown", VLOOKUP(B883,Table1[],4))</f>
        <v>#N/A</v>
      </c>
      <c r="M883">
        <v>1</v>
      </c>
      <c r="N883" t="e">
        <f t="shared" si="66"/>
        <v>#N/A</v>
      </c>
      <c r="O883" t="str">
        <f t="shared" si="67"/>
        <v/>
      </c>
      <c r="P883" t="str">
        <f t="shared" si="68"/>
        <v/>
      </c>
      <c r="Q883" t="str">
        <f t="shared" si="69"/>
        <v/>
      </c>
      <c r="R883">
        <v>1</v>
      </c>
    </row>
    <row r="884" spans="1:18">
      <c r="A884">
        <f>'PSP Data'!A887</f>
        <v>0</v>
      </c>
      <c r="B884" t="str">
        <f>IF('PSP Data'!B887=0,"",'PSP Data'!B887)</f>
        <v/>
      </c>
      <c r="C884">
        <f>'PSP Data'!C887</f>
        <v>0</v>
      </c>
      <c r="D884">
        <f>'PSP Data'!D887</f>
        <v>0</v>
      </c>
      <c r="E884">
        <f>'PSP Data'!E887</f>
        <v>0</v>
      </c>
      <c r="F884">
        <f>'PSP Data'!F887</f>
        <v>0</v>
      </c>
      <c r="G884">
        <f>'PSP Data'!G887</f>
        <v>0</v>
      </c>
      <c r="H884">
        <f>'PSP Data'!H887</f>
        <v>0</v>
      </c>
      <c r="I884">
        <f>'PSP Data'!I887</f>
        <v>0</v>
      </c>
      <c r="J884" s="29" t="e">
        <f t="shared" si="65"/>
        <v>#N/A</v>
      </c>
      <c r="K884" s="29" t="e">
        <f>IF(AND((A884&lt;'PSP Data'!$C$11),(A884&lt;&gt;0)),Analysis!C884,#N/A)</f>
        <v>#N/A</v>
      </c>
      <c r="L884" t="e">
        <f>IF(VLOOKUP(B884,Table1[],4)=0,"unknown", VLOOKUP(B884,Table1[],4))</f>
        <v>#N/A</v>
      </c>
      <c r="M884">
        <v>1</v>
      </c>
      <c r="N884" t="e">
        <f t="shared" si="66"/>
        <v>#N/A</v>
      </c>
      <c r="O884" t="str">
        <f t="shared" si="67"/>
        <v/>
      </c>
      <c r="P884" t="str">
        <f t="shared" si="68"/>
        <v/>
      </c>
      <c r="Q884" t="str">
        <f t="shared" si="69"/>
        <v/>
      </c>
      <c r="R884">
        <v>1</v>
      </c>
    </row>
    <row r="885" spans="1:18">
      <c r="A885">
        <f>'PSP Data'!A888</f>
        <v>0</v>
      </c>
      <c r="B885" t="str">
        <f>IF('PSP Data'!B888=0,"",'PSP Data'!B888)</f>
        <v/>
      </c>
      <c r="C885">
        <f>'PSP Data'!C888</f>
        <v>0</v>
      </c>
      <c r="D885">
        <f>'PSP Data'!D888</f>
        <v>0</v>
      </c>
      <c r="E885">
        <f>'PSP Data'!E888</f>
        <v>0</v>
      </c>
      <c r="F885">
        <f>'PSP Data'!F888</f>
        <v>0</v>
      </c>
      <c r="G885">
        <f>'PSP Data'!G888</f>
        <v>0</v>
      </c>
      <c r="H885">
        <f>'PSP Data'!H888</f>
        <v>0</v>
      </c>
      <c r="I885">
        <f>'PSP Data'!I888</f>
        <v>0</v>
      </c>
      <c r="J885" s="29" t="e">
        <f t="shared" si="65"/>
        <v>#N/A</v>
      </c>
      <c r="K885" s="29" t="e">
        <f>IF(AND((A885&lt;'PSP Data'!$C$11),(A885&lt;&gt;0)),Analysis!C885,#N/A)</f>
        <v>#N/A</v>
      </c>
      <c r="L885" t="e">
        <f>IF(VLOOKUP(B885,Table1[],4)=0,"unknown", VLOOKUP(B885,Table1[],4))</f>
        <v>#N/A</v>
      </c>
      <c r="M885">
        <v>1</v>
      </c>
      <c r="N885" t="e">
        <f t="shared" si="66"/>
        <v>#N/A</v>
      </c>
      <c r="O885" t="str">
        <f t="shared" si="67"/>
        <v/>
      </c>
      <c r="P885" t="str">
        <f t="shared" si="68"/>
        <v/>
      </c>
      <c r="Q885" t="str">
        <f t="shared" si="69"/>
        <v/>
      </c>
      <c r="R885">
        <v>1</v>
      </c>
    </row>
    <row r="886" spans="1:18">
      <c r="A886">
        <f>'PSP Data'!A889</f>
        <v>0</v>
      </c>
      <c r="B886" t="str">
        <f>IF('PSP Data'!B889=0,"",'PSP Data'!B889)</f>
        <v/>
      </c>
      <c r="C886">
        <f>'PSP Data'!C889</f>
        <v>0</v>
      </c>
      <c r="D886">
        <f>'PSP Data'!D889</f>
        <v>0</v>
      </c>
      <c r="E886">
        <f>'PSP Data'!E889</f>
        <v>0</v>
      </c>
      <c r="F886">
        <f>'PSP Data'!F889</f>
        <v>0</v>
      </c>
      <c r="G886">
        <f>'PSP Data'!G889</f>
        <v>0</v>
      </c>
      <c r="H886">
        <f>'PSP Data'!H889</f>
        <v>0</v>
      </c>
      <c r="I886">
        <f>'PSP Data'!I889</f>
        <v>0</v>
      </c>
      <c r="J886" s="29" t="e">
        <f t="shared" si="65"/>
        <v>#N/A</v>
      </c>
      <c r="K886" s="29" t="e">
        <f>IF(AND((A886&lt;'PSP Data'!$C$11),(A886&lt;&gt;0)),Analysis!C886,#N/A)</f>
        <v>#N/A</v>
      </c>
      <c r="L886" t="e">
        <f>IF(VLOOKUP(B886,Table1[],4)=0,"unknown", VLOOKUP(B886,Table1[],4))</f>
        <v>#N/A</v>
      </c>
      <c r="M886">
        <v>1</v>
      </c>
      <c r="N886" t="e">
        <f t="shared" si="66"/>
        <v>#N/A</v>
      </c>
      <c r="O886" t="str">
        <f t="shared" si="67"/>
        <v/>
      </c>
      <c r="P886" t="str">
        <f t="shared" si="68"/>
        <v/>
      </c>
      <c r="Q886" t="str">
        <f t="shared" si="69"/>
        <v/>
      </c>
      <c r="R886">
        <v>1</v>
      </c>
    </row>
    <row r="887" spans="1:18">
      <c r="A887">
        <f>'PSP Data'!A890</f>
        <v>0</v>
      </c>
      <c r="B887" t="str">
        <f>IF('PSP Data'!B890=0,"",'PSP Data'!B890)</f>
        <v/>
      </c>
      <c r="C887">
        <f>'PSP Data'!C890</f>
        <v>0</v>
      </c>
      <c r="D887">
        <f>'PSP Data'!D890</f>
        <v>0</v>
      </c>
      <c r="E887">
        <f>'PSP Data'!E890</f>
        <v>0</v>
      </c>
      <c r="F887">
        <f>'PSP Data'!F890</f>
        <v>0</v>
      </c>
      <c r="G887">
        <f>'PSP Data'!G890</f>
        <v>0</v>
      </c>
      <c r="H887">
        <f>'PSP Data'!H890</f>
        <v>0</v>
      </c>
      <c r="I887">
        <f>'PSP Data'!I890</f>
        <v>0</v>
      </c>
      <c r="J887" s="29" t="e">
        <f t="shared" si="65"/>
        <v>#N/A</v>
      </c>
      <c r="K887" s="29" t="e">
        <f>IF(AND((A887&lt;'PSP Data'!$C$11),(A887&lt;&gt;0)),Analysis!C887,#N/A)</f>
        <v>#N/A</v>
      </c>
      <c r="L887" t="e">
        <f>IF(VLOOKUP(B887,Table1[],4)=0,"unknown", VLOOKUP(B887,Table1[],4))</f>
        <v>#N/A</v>
      </c>
      <c r="M887">
        <v>1</v>
      </c>
      <c r="N887" t="e">
        <f t="shared" si="66"/>
        <v>#N/A</v>
      </c>
      <c r="O887" t="str">
        <f t="shared" si="67"/>
        <v/>
      </c>
      <c r="P887" t="str">
        <f t="shared" si="68"/>
        <v/>
      </c>
      <c r="Q887" t="str">
        <f t="shared" si="69"/>
        <v/>
      </c>
      <c r="R887">
        <v>1</v>
      </c>
    </row>
    <row r="888" spans="1:18">
      <c r="A888">
        <f>'PSP Data'!A891</f>
        <v>0</v>
      </c>
      <c r="B888" t="str">
        <f>IF('PSP Data'!B891=0,"",'PSP Data'!B891)</f>
        <v/>
      </c>
      <c r="C888">
        <f>'PSP Data'!C891</f>
        <v>0</v>
      </c>
      <c r="D888">
        <f>'PSP Data'!D891</f>
        <v>0</v>
      </c>
      <c r="E888">
        <f>'PSP Data'!E891</f>
        <v>0</v>
      </c>
      <c r="F888">
        <f>'PSP Data'!F891</f>
        <v>0</v>
      </c>
      <c r="G888">
        <f>'PSP Data'!G891</f>
        <v>0</v>
      </c>
      <c r="H888">
        <f>'PSP Data'!H891</f>
        <v>0</v>
      </c>
      <c r="I888">
        <f>'PSP Data'!I891</f>
        <v>0</v>
      </c>
      <c r="J888" s="29" t="e">
        <f t="shared" si="65"/>
        <v>#N/A</v>
      </c>
      <c r="K888" s="29" t="e">
        <f>IF(AND((A888&lt;'PSP Data'!$C$11),(A888&lt;&gt;0)),Analysis!C888,#N/A)</f>
        <v>#N/A</v>
      </c>
      <c r="L888" t="e">
        <f>IF(VLOOKUP(B888,Table1[],4)=0,"unknown", VLOOKUP(B888,Table1[],4))</f>
        <v>#N/A</v>
      </c>
      <c r="M888">
        <v>1</v>
      </c>
      <c r="N888" t="e">
        <f t="shared" si="66"/>
        <v>#N/A</v>
      </c>
      <c r="O888" t="str">
        <f t="shared" si="67"/>
        <v/>
      </c>
      <c r="P888" t="str">
        <f t="shared" si="68"/>
        <v/>
      </c>
      <c r="Q888" t="str">
        <f t="shared" si="69"/>
        <v/>
      </c>
      <c r="R888">
        <v>1</v>
      </c>
    </row>
    <row r="889" spans="1:18">
      <c r="A889">
        <f>'PSP Data'!A892</f>
        <v>0</v>
      </c>
      <c r="B889" t="str">
        <f>IF('PSP Data'!B892=0,"",'PSP Data'!B892)</f>
        <v/>
      </c>
      <c r="C889">
        <f>'PSP Data'!C892</f>
        <v>0</v>
      </c>
      <c r="D889">
        <f>'PSP Data'!D892</f>
        <v>0</v>
      </c>
      <c r="E889">
        <f>'PSP Data'!E892</f>
        <v>0</v>
      </c>
      <c r="F889">
        <f>'PSP Data'!F892</f>
        <v>0</v>
      </c>
      <c r="G889">
        <f>'PSP Data'!G892</f>
        <v>0</v>
      </c>
      <c r="H889">
        <f>'PSP Data'!H892</f>
        <v>0</v>
      </c>
      <c r="I889">
        <f>'PSP Data'!I892</f>
        <v>0</v>
      </c>
      <c r="J889" s="29" t="e">
        <f t="shared" si="65"/>
        <v>#N/A</v>
      </c>
      <c r="K889" s="29" t="e">
        <f>IF(AND((A889&lt;'PSP Data'!$C$11),(A889&lt;&gt;0)),Analysis!C889,#N/A)</f>
        <v>#N/A</v>
      </c>
      <c r="L889" t="e">
        <f>IF(VLOOKUP(B889,Table1[],4)=0,"unknown", VLOOKUP(B889,Table1[],4))</f>
        <v>#N/A</v>
      </c>
      <c r="M889">
        <v>1</v>
      </c>
      <c r="N889" t="e">
        <f t="shared" si="66"/>
        <v>#N/A</v>
      </c>
      <c r="O889" t="str">
        <f t="shared" si="67"/>
        <v/>
      </c>
      <c r="P889" t="str">
        <f t="shared" si="68"/>
        <v/>
      </c>
      <c r="Q889" t="str">
        <f t="shared" si="69"/>
        <v/>
      </c>
      <c r="R889">
        <v>1</v>
      </c>
    </row>
    <row r="890" spans="1:18">
      <c r="A890">
        <f>'PSP Data'!A893</f>
        <v>0</v>
      </c>
      <c r="B890" t="str">
        <f>IF('PSP Data'!B893=0,"",'PSP Data'!B893)</f>
        <v/>
      </c>
      <c r="C890">
        <f>'PSP Data'!C893</f>
        <v>0</v>
      </c>
      <c r="D890">
        <f>'PSP Data'!D893</f>
        <v>0</v>
      </c>
      <c r="E890">
        <f>'PSP Data'!E893</f>
        <v>0</v>
      </c>
      <c r="F890">
        <f>'PSP Data'!F893</f>
        <v>0</v>
      </c>
      <c r="G890">
        <f>'PSP Data'!G893</f>
        <v>0</v>
      </c>
      <c r="H890">
        <f>'PSP Data'!H893</f>
        <v>0</v>
      </c>
      <c r="I890">
        <f>'PSP Data'!I893</f>
        <v>0</v>
      </c>
      <c r="J890" s="29" t="e">
        <f t="shared" si="65"/>
        <v>#N/A</v>
      </c>
      <c r="K890" s="29" t="e">
        <f>IF(AND((A890&lt;'PSP Data'!$C$11),(A890&lt;&gt;0)),Analysis!C890,#N/A)</f>
        <v>#N/A</v>
      </c>
      <c r="L890" t="e">
        <f>IF(VLOOKUP(B890,Table1[],4)=0,"unknown", VLOOKUP(B890,Table1[],4))</f>
        <v>#N/A</v>
      </c>
      <c r="M890">
        <v>1</v>
      </c>
      <c r="N890" t="e">
        <f t="shared" si="66"/>
        <v>#N/A</v>
      </c>
      <c r="O890" t="str">
        <f t="shared" si="67"/>
        <v/>
      </c>
      <c r="P890" t="str">
        <f t="shared" si="68"/>
        <v/>
      </c>
      <c r="Q890" t="str">
        <f t="shared" si="69"/>
        <v/>
      </c>
      <c r="R890">
        <v>1</v>
      </c>
    </row>
    <row r="891" spans="1:18">
      <c r="A891">
        <f>'PSP Data'!A894</f>
        <v>0</v>
      </c>
      <c r="B891" t="str">
        <f>IF('PSP Data'!B894=0,"",'PSP Data'!B894)</f>
        <v/>
      </c>
      <c r="C891">
        <f>'PSP Data'!C894</f>
        <v>0</v>
      </c>
      <c r="D891">
        <f>'PSP Data'!D894</f>
        <v>0</v>
      </c>
      <c r="E891">
        <f>'PSP Data'!E894</f>
        <v>0</v>
      </c>
      <c r="F891">
        <f>'PSP Data'!F894</f>
        <v>0</v>
      </c>
      <c r="G891">
        <f>'PSP Data'!G894</f>
        <v>0</v>
      </c>
      <c r="H891">
        <f>'PSP Data'!H894</f>
        <v>0</v>
      </c>
      <c r="I891">
        <f>'PSP Data'!I894</f>
        <v>0</v>
      </c>
      <c r="J891" s="29" t="e">
        <f t="shared" si="65"/>
        <v>#N/A</v>
      </c>
      <c r="K891" s="29" t="e">
        <f>IF(AND((A891&lt;'PSP Data'!$C$11),(A891&lt;&gt;0)),Analysis!C891,#N/A)</f>
        <v>#N/A</v>
      </c>
      <c r="L891" t="e">
        <f>IF(VLOOKUP(B891,Table1[],4)=0,"unknown", VLOOKUP(B891,Table1[],4))</f>
        <v>#N/A</v>
      </c>
      <c r="M891">
        <v>1</v>
      </c>
      <c r="N891" t="e">
        <f t="shared" si="66"/>
        <v>#N/A</v>
      </c>
      <c r="O891" t="str">
        <f t="shared" si="67"/>
        <v/>
      </c>
      <c r="P891" t="str">
        <f t="shared" si="68"/>
        <v/>
      </c>
      <c r="Q891" t="str">
        <f t="shared" si="69"/>
        <v/>
      </c>
      <c r="R891">
        <v>1</v>
      </c>
    </row>
    <row r="892" spans="1:18">
      <c r="A892">
        <f>'PSP Data'!A895</f>
        <v>0</v>
      </c>
      <c r="B892" t="str">
        <f>IF('PSP Data'!B895=0,"",'PSP Data'!B895)</f>
        <v/>
      </c>
      <c r="C892">
        <f>'PSP Data'!C895</f>
        <v>0</v>
      </c>
      <c r="D892">
        <f>'PSP Data'!D895</f>
        <v>0</v>
      </c>
      <c r="E892">
        <f>'PSP Data'!E895</f>
        <v>0</v>
      </c>
      <c r="F892">
        <f>'PSP Data'!F895</f>
        <v>0</v>
      </c>
      <c r="G892">
        <f>'PSP Data'!G895</f>
        <v>0</v>
      </c>
      <c r="H892">
        <f>'PSP Data'!H895</f>
        <v>0</v>
      </c>
      <c r="I892">
        <f>'PSP Data'!I895</f>
        <v>0</v>
      </c>
      <c r="J892" s="29" t="e">
        <f t="shared" si="65"/>
        <v>#N/A</v>
      </c>
      <c r="K892" s="29" t="e">
        <f>IF(AND((A892&lt;'PSP Data'!$C$11),(A892&lt;&gt;0)),Analysis!C892,#N/A)</f>
        <v>#N/A</v>
      </c>
      <c r="L892" t="e">
        <f>IF(VLOOKUP(B892,Table1[],4)=0,"unknown", VLOOKUP(B892,Table1[],4))</f>
        <v>#N/A</v>
      </c>
      <c r="M892">
        <v>1</v>
      </c>
      <c r="N892" t="e">
        <f t="shared" si="66"/>
        <v>#N/A</v>
      </c>
      <c r="O892" t="str">
        <f t="shared" si="67"/>
        <v/>
      </c>
      <c r="P892" t="str">
        <f t="shared" si="68"/>
        <v/>
      </c>
      <c r="Q892" t="str">
        <f t="shared" si="69"/>
        <v/>
      </c>
      <c r="R892">
        <v>1</v>
      </c>
    </row>
    <row r="893" spans="1:18">
      <c r="A893">
        <f>'PSP Data'!A896</f>
        <v>0</v>
      </c>
      <c r="B893" t="str">
        <f>IF('PSP Data'!B896=0,"",'PSP Data'!B896)</f>
        <v/>
      </c>
      <c r="C893">
        <f>'PSP Data'!C896</f>
        <v>0</v>
      </c>
      <c r="D893">
        <f>'PSP Data'!D896</f>
        <v>0</v>
      </c>
      <c r="E893">
        <f>'PSP Data'!E896</f>
        <v>0</v>
      </c>
      <c r="F893">
        <f>'PSP Data'!F896</f>
        <v>0</v>
      </c>
      <c r="G893">
        <f>'PSP Data'!G896</f>
        <v>0</v>
      </c>
      <c r="H893">
        <f>'PSP Data'!H896</f>
        <v>0</v>
      </c>
      <c r="I893">
        <f>'PSP Data'!I896</f>
        <v>0</v>
      </c>
      <c r="J893" s="29" t="e">
        <f t="shared" si="65"/>
        <v>#N/A</v>
      </c>
      <c r="K893" s="29" t="e">
        <f>IF(AND((A893&lt;'PSP Data'!$C$11),(A893&lt;&gt;0)),Analysis!C893,#N/A)</f>
        <v>#N/A</v>
      </c>
      <c r="L893" t="e">
        <f>IF(VLOOKUP(B893,Table1[],4)=0,"unknown", VLOOKUP(B893,Table1[],4))</f>
        <v>#N/A</v>
      </c>
      <c r="M893">
        <v>1</v>
      </c>
      <c r="N893" t="e">
        <f t="shared" si="66"/>
        <v>#N/A</v>
      </c>
      <c r="O893" t="str">
        <f t="shared" si="67"/>
        <v/>
      </c>
      <c r="P893" t="str">
        <f t="shared" si="68"/>
        <v/>
      </c>
      <c r="Q893" t="str">
        <f t="shared" si="69"/>
        <v/>
      </c>
      <c r="R893">
        <v>1</v>
      </c>
    </row>
    <row r="894" spans="1:18">
      <c r="A894">
        <f>'PSP Data'!A897</f>
        <v>0</v>
      </c>
      <c r="B894" t="str">
        <f>IF('PSP Data'!B897=0,"",'PSP Data'!B897)</f>
        <v/>
      </c>
      <c r="C894">
        <f>'PSP Data'!C897</f>
        <v>0</v>
      </c>
      <c r="D894">
        <f>'PSP Data'!D897</f>
        <v>0</v>
      </c>
      <c r="E894">
        <f>'PSP Data'!E897</f>
        <v>0</v>
      </c>
      <c r="F894">
        <f>'PSP Data'!F897</f>
        <v>0</v>
      </c>
      <c r="G894">
        <f>'PSP Data'!G897</f>
        <v>0</v>
      </c>
      <c r="H894">
        <f>'PSP Data'!H897</f>
        <v>0</v>
      </c>
      <c r="I894">
        <f>'PSP Data'!I897</f>
        <v>0</v>
      </c>
      <c r="J894" s="29" t="e">
        <f t="shared" si="65"/>
        <v>#N/A</v>
      </c>
      <c r="K894" s="29" t="e">
        <f>IF(AND((A894&lt;'PSP Data'!$C$11),(A894&lt;&gt;0)),Analysis!C894,#N/A)</f>
        <v>#N/A</v>
      </c>
      <c r="L894" t="e">
        <f>IF(VLOOKUP(B894,Table1[],4)=0,"unknown", VLOOKUP(B894,Table1[],4))</f>
        <v>#N/A</v>
      </c>
      <c r="M894">
        <v>1</v>
      </c>
      <c r="N894" t="e">
        <f t="shared" si="66"/>
        <v>#N/A</v>
      </c>
      <c r="O894" t="str">
        <f t="shared" si="67"/>
        <v/>
      </c>
      <c r="P894" t="str">
        <f t="shared" si="68"/>
        <v/>
      </c>
      <c r="Q894" t="str">
        <f t="shared" si="69"/>
        <v/>
      </c>
      <c r="R894">
        <v>1</v>
      </c>
    </row>
    <row r="895" spans="1:18">
      <c r="A895">
        <f>'PSP Data'!A898</f>
        <v>0</v>
      </c>
      <c r="B895" t="str">
        <f>IF('PSP Data'!B898=0,"",'PSP Data'!B898)</f>
        <v/>
      </c>
      <c r="C895">
        <f>'PSP Data'!C898</f>
        <v>0</v>
      </c>
      <c r="D895">
        <f>'PSP Data'!D898</f>
        <v>0</v>
      </c>
      <c r="E895">
        <f>'PSP Data'!E898</f>
        <v>0</v>
      </c>
      <c r="F895">
        <f>'PSP Data'!F898</f>
        <v>0</v>
      </c>
      <c r="G895">
        <f>'PSP Data'!G898</f>
        <v>0</v>
      </c>
      <c r="H895">
        <f>'PSP Data'!H898</f>
        <v>0</v>
      </c>
      <c r="I895">
        <f>'PSP Data'!I898</f>
        <v>0</v>
      </c>
      <c r="J895" s="29" t="e">
        <f t="shared" si="65"/>
        <v>#N/A</v>
      </c>
      <c r="K895" s="29" t="e">
        <f>IF(AND((A895&lt;'PSP Data'!$C$11),(A895&lt;&gt;0)),Analysis!C895,#N/A)</f>
        <v>#N/A</v>
      </c>
      <c r="L895" t="e">
        <f>IF(VLOOKUP(B895,Table1[],4)=0,"unknown", VLOOKUP(B895,Table1[],4))</f>
        <v>#N/A</v>
      </c>
      <c r="M895">
        <v>1</v>
      </c>
      <c r="N895" t="e">
        <f t="shared" si="66"/>
        <v>#N/A</v>
      </c>
      <c r="O895" t="str">
        <f t="shared" si="67"/>
        <v/>
      </c>
      <c r="P895" t="str">
        <f t="shared" si="68"/>
        <v/>
      </c>
      <c r="Q895" t="str">
        <f t="shared" si="69"/>
        <v/>
      </c>
      <c r="R895">
        <v>1</v>
      </c>
    </row>
    <row r="896" spans="1:18">
      <c r="A896">
        <f>'PSP Data'!A899</f>
        <v>0</v>
      </c>
      <c r="B896" t="str">
        <f>IF('PSP Data'!B899=0,"",'PSP Data'!B899)</f>
        <v/>
      </c>
      <c r="C896">
        <f>'PSP Data'!C899</f>
        <v>0</v>
      </c>
      <c r="D896">
        <f>'PSP Data'!D899</f>
        <v>0</v>
      </c>
      <c r="E896">
        <f>'PSP Data'!E899</f>
        <v>0</v>
      </c>
      <c r="F896">
        <f>'PSP Data'!F899</f>
        <v>0</v>
      </c>
      <c r="G896">
        <f>'PSP Data'!G899</f>
        <v>0</v>
      </c>
      <c r="H896">
        <f>'PSP Data'!H899</f>
        <v>0</v>
      </c>
      <c r="I896">
        <f>'PSP Data'!I899</f>
        <v>0</v>
      </c>
      <c r="J896" s="29" t="e">
        <f t="shared" si="65"/>
        <v>#N/A</v>
      </c>
      <c r="K896" s="29" t="e">
        <f>IF(AND((A896&lt;'PSP Data'!$C$11),(A896&lt;&gt;0)),Analysis!C896,#N/A)</f>
        <v>#N/A</v>
      </c>
      <c r="L896" t="e">
        <f>IF(VLOOKUP(B896,Table1[],4)=0,"unknown", VLOOKUP(B896,Table1[],4))</f>
        <v>#N/A</v>
      </c>
      <c r="M896">
        <v>1</v>
      </c>
      <c r="N896" t="e">
        <f t="shared" si="66"/>
        <v>#N/A</v>
      </c>
      <c r="O896" t="str">
        <f t="shared" si="67"/>
        <v/>
      </c>
      <c r="P896" t="str">
        <f t="shared" si="68"/>
        <v/>
      </c>
      <c r="Q896" t="str">
        <f t="shared" si="69"/>
        <v/>
      </c>
      <c r="R896">
        <v>1</v>
      </c>
    </row>
    <row r="897" spans="1:18">
      <c r="A897">
        <f>'PSP Data'!A900</f>
        <v>0</v>
      </c>
      <c r="B897" t="str">
        <f>IF('PSP Data'!B900=0,"",'PSP Data'!B900)</f>
        <v/>
      </c>
      <c r="C897">
        <f>'PSP Data'!C900</f>
        <v>0</v>
      </c>
      <c r="D897">
        <f>'PSP Data'!D900</f>
        <v>0</v>
      </c>
      <c r="E897">
        <f>'PSP Data'!E900</f>
        <v>0</v>
      </c>
      <c r="F897">
        <f>'PSP Data'!F900</f>
        <v>0</v>
      </c>
      <c r="G897">
        <f>'PSP Data'!G900</f>
        <v>0</v>
      </c>
      <c r="H897">
        <f>'PSP Data'!H900</f>
        <v>0</v>
      </c>
      <c r="I897">
        <f>'PSP Data'!I900</f>
        <v>0</v>
      </c>
      <c r="J897" s="29" t="e">
        <f t="shared" si="65"/>
        <v>#N/A</v>
      </c>
      <c r="K897" s="29" t="e">
        <f>IF(AND((A897&lt;'PSP Data'!$C$11),(A897&lt;&gt;0)),Analysis!C897,#N/A)</f>
        <v>#N/A</v>
      </c>
      <c r="L897" t="e">
        <f>IF(VLOOKUP(B897,Table1[],4)=0,"unknown", VLOOKUP(B897,Table1[],4))</f>
        <v>#N/A</v>
      </c>
      <c r="M897">
        <v>1</v>
      </c>
      <c r="N897" t="e">
        <f t="shared" si="66"/>
        <v>#N/A</v>
      </c>
      <c r="O897" t="str">
        <f t="shared" si="67"/>
        <v/>
      </c>
      <c r="P897" t="str">
        <f t="shared" si="68"/>
        <v/>
      </c>
      <c r="Q897" t="str">
        <f t="shared" si="69"/>
        <v/>
      </c>
      <c r="R897">
        <v>1</v>
      </c>
    </row>
    <row r="898" spans="1:18">
      <c r="A898">
        <f>'PSP Data'!A901</f>
        <v>0</v>
      </c>
      <c r="B898" t="str">
        <f>IF('PSP Data'!B901=0,"",'PSP Data'!B901)</f>
        <v/>
      </c>
      <c r="C898">
        <f>'PSP Data'!C901</f>
        <v>0</v>
      </c>
      <c r="D898">
        <f>'PSP Data'!D901</f>
        <v>0</v>
      </c>
      <c r="E898">
        <f>'PSP Data'!E901</f>
        <v>0</v>
      </c>
      <c r="F898">
        <f>'PSP Data'!F901</f>
        <v>0</v>
      </c>
      <c r="G898">
        <f>'PSP Data'!G901</f>
        <v>0</v>
      </c>
      <c r="H898">
        <f>'PSP Data'!H901</f>
        <v>0</v>
      </c>
      <c r="I898">
        <f>'PSP Data'!I901</f>
        <v>0</v>
      </c>
      <c r="J898" s="29" t="e">
        <f t="shared" si="65"/>
        <v>#N/A</v>
      </c>
      <c r="K898" s="29" t="e">
        <f>IF(AND((A898&lt;'PSP Data'!$C$11),(A898&lt;&gt;0)),Analysis!C898,#N/A)</f>
        <v>#N/A</v>
      </c>
      <c r="L898" t="e">
        <f>IF(VLOOKUP(B898,Table1[],4)=0,"unknown", VLOOKUP(B898,Table1[],4))</f>
        <v>#N/A</v>
      </c>
      <c r="M898">
        <v>1</v>
      </c>
      <c r="N898" t="e">
        <f t="shared" si="66"/>
        <v>#N/A</v>
      </c>
      <c r="O898" t="str">
        <f t="shared" si="67"/>
        <v/>
      </c>
      <c r="P898" t="str">
        <f t="shared" si="68"/>
        <v/>
      </c>
      <c r="Q898" t="str">
        <f t="shared" si="69"/>
        <v/>
      </c>
      <c r="R898">
        <v>1</v>
      </c>
    </row>
    <row r="899" spans="1:18">
      <c r="A899">
        <f>'PSP Data'!A902</f>
        <v>0</v>
      </c>
      <c r="B899" t="str">
        <f>IF('PSP Data'!B902=0,"",'PSP Data'!B902)</f>
        <v/>
      </c>
      <c r="C899">
        <f>'PSP Data'!C902</f>
        <v>0</v>
      </c>
      <c r="D899">
        <f>'PSP Data'!D902</f>
        <v>0</v>
      </c>
      <c r="E899">
        <f>'PSP Data'!E902</f>
        <v>0</v>
      </c>
      <c r="F899">
        <f>'PSP Data'!F902</f>
        <v>0</v>
      </c>
      <c r="G899">
        <f>'PSP Data'!G902</f>
        <v>0</v>
      </c>
      <c r="H899">
        <f>'PSP Data'!H902</f>
        <v>0</v>
      </c>
      <c r="I899">
        <f>'PSP Data'!I902</f>
        <v>0</v>
      </c>
      <c r="J899" s="29" t="e">
        <f t="shared" si="65"/>
        <v>#N/A</v>
      </c>
      <c r="K899" s="29" t="e">
        <f>IF(AND((A899&lt;'PSP Data'!$C$11),(A899&lt;&gt;0)),Analysis!C899,#N/A)</f>
        <v>#N/A</v>
      </c>
      <c r="L899" t="e">
        <f>IF(VLOOKUP(B899,Table1[],4)=0,"unknown", VLOOKUP(B899,Table1[],4))</f>
        <v>#N/A</v>
      </c>
      <c r="M899">
        <v>1</v>
      </c>
      <c r="N899" t="e">
        <f t="shared" si="66"/>
        <v>#N/A</v>
      </c>
      <c r="O899" t="str">
        <f t="shared" si="67"/>
        <v/>
      </c>
      <c r="P899" t="str">
        <f t="shared" si="68"/>
        <v/>
      </c>
      <c r="Q899" t="str">
        <f t="shared" si="69"/>
        <v/>
      </c>
      <c r="R899">
        <v>1</v>
      </c>
    </row>
    <row r="900" spans="1:18">
      <c r="A900">
        <f>'PSP Data'!A903</f>
        <v>0</v>
      </c>
      <c r="B900" t="str">
        <f>IF('PSP Data'!B903=0,"",'PSP Data'!B903)</f>
        <v/>
      </c>
      <c r="C900">
        <f>'PSP Data'!C903</f>
        <v>0</v>
      </c>
      <c r="D900">
        <f>'PSP Data'!D903</f>
        <v>0</v>
      </c>
      <c r="E900">
        <f>'PSP Data'!E903</f>
        <v>0</v>
      </c>
      <c r="F900">
        <f>'PSP Data'!F903</f>
        <v>0</v>
      </c>
      <c r="G900">
        <f>'PSP Data'!G903</f>
        <v>0</v>
      </c>
      <c r="H900">
        <f>'PSP Data'!H903</f>
        <v>0</v>
      </c>
      <c r="I900">
        <f>'PSP Data'!I903</f>
        <v>0</v>
      </c>
      <c r="J900" s="29" t="e">
        <f t="shared" si="65"/>
        <v>#N/A</v>
      </c>
      <c r="K900" s="29" t="e">
        <f>IF(AND((A900&lt;'PSP Data'!$C$11),(A900&lt;&gt;0)),Analysis!C900,#N/A)</f>
        <v>#N/A</v>
      </c>
      <c r="L900" t="e">
        <f>IF(VLOOKUP(B900,Table1[],4)=0,"unknown", VLOOKUP(B900,Table1[],4))</f>
        <v>#N/A</v>
      </c>
      <c r="M900">
        <v>1</v>
      </c>
      <c r="N900" t="e">
        <f t="shared" si="66"/>
        <v>#N/A</v>
      </c>
      <c r="O900" t="str">
        <f t="shared" si="67"/>
        <v/>
      </c>
      <c r="P900" t="str">
        <f t="shared" si="68"/>
        <v/>
      </c>
      <c r="Q900" t="str">
        <f t="shared" si="69"/>
        <v/>
      </c>
      <c r="R900">
        <v>1</v>
      </c>
    </row>
    <row r="901" spans="1:18">
      <c r="A901" s="17"/>
      <c r="B901" s="17"/>
      <c r="C901" s="17"/>
      <c r="D901" s="17"/>
      <c r="E901" s="17"/>
      <c r="F901" s="17"/>
      <c r="G901" s="17"/>
      <c r="H901" s="17"/>
      <c r="I901" s="17"/>
      <c r="J901" s="17"/>
      <c r="K901" s="17"/>
      <c r="L901" s="17"/>
      <c r="M901" s="17"/>
      <c r="N901" s="17"/>
      <c r="O901" s="17"/>
      <c r="P901" s="17"/>
      <c r="Q901" s="17"/>
      <c r="R901" s="17"/>
    </row>
  </sheetData>
  <pageMargins left="0.7" right="0.7" top="0.75" bottom="0.75" header="0.3" footer="0.3"/>
  <pageSetup orientation="portrait" horizontalDpi="4294967293" verticalDpi="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115"/>
  <sheetViews>
    <sheetView topLeftCell="A103" zoomScale="115" zoomScaleNormal="115" workbookViewId="0">
      <selection activeCell="D110" sqref="D110"/>
    </sheetView>
  </sheetViews>
  <sheetFormatPr defaultRowHeight="14.5"/>
  <cols>
    <col min="1" max="1" width="25.54296875" bestFit="1" customWidth="1"/>
    <col min="2" max="2" width="22.81640625" customWidth="1"/>
    <col min="3" max="3" width="48.1796875" bestFit="1" customWidth="1"/>
    <col min="4" max="4" width="10.453125" customWidth="1"/>
    <col min="6" max="6" width="14.81640625" bestFit="1" customWidth="1"/>
    <col min="8" max="8" width="10.26953125" customWidth="1"/>
    <col min="10" max="10" width="19.54296875" bestFit="1" customWidth="1"/>
  </cols>
  <sheetData>
    <row r="1" spans="1:11">
      <c r="A1" s="3" t="s">
        <v>6</v>
      </c>
      <c r="B1" s="3" t="s">
        <v>5</v>
      </c>
      <c r="C1" s="3" t="s">
        <v>7</v>
      </c>
      <c r="D1" s="3" t="s">
        <v>36</v>
      </c>
      <c r="F1" t="s">
        <v>40</v>
      </c>
      <c r="H1" t="s">
        <v>41</v>
      </c>
      <c r="J1" t="s">
        <v>45</v>
      </c>
      <c r="K1" t="s">
        <v>46</v>
      </c>
    </row>
    <row r="2" spans="1:11">
      <c r="A2" t="s">
        <v>61</v>
      </c>
      <c r="B2" t="s">
        <v>62</v>
      </c>
      <c r="C2" s="24" t="str">
        <f>Table1[[#This Row],[Scientific name]]&amp;" ("&amp;Table1[[#This Row],[Popular name]]&amp;")"</f>
        <v>Acacia collinsi (cockspur)</v>
      </c>
      <c r="D2" t="s">
        <v>39</v>
      </c>
      <c r="F2" t="s">
        <v>39</v>
      </c>
      <c r="H2" t="s">
        <v>270</v>
      </c>
      <c r="J2" s="18" t="s">
        <v>42</v>
      </c>
      <c r="K2" s="18" t="s">
        <v>47</v>
      </c>
    </row>
    <row r="3" spans="1:11">
      <c r="A3" t="s">
        <v>68</v>
      </c>
      <c r="B3" t="s">
        <v>69</v>
      </c>
      <c r="C3" s="24" t="str">
        <f>Table1[[#This Row],[Scientific name]]&amp;" ("&amp;Table1[[#This Row],[Popular name]]&amp;")"</f>
        <v>Acoelorraphe wrightii (Palmeto)</v>
      </c>
      <c r="D3" t="s">
        <v>39</v>
      </c>
      <c r="F3" t="s">
        <v>37</v>
      </c>
      <c r="H3" t="s">
        <v>271</v>
      </c>
      <c r="J3" s="18" t="s">
        <v>43</v>
      </c>
      <c r="K3" s="18" t="s">
        <v>48</v>
      </c>
    </row>
    <row r="4" spans="1:11">
      <c r="A4" t="s">
        <v>63</v>
      </c>
      <c r="B4" t="s">
        <v>64</v>
      </c>
      <c r="C4" s="24" t="str">
        <f>Table1[[#This Row],[Scientific name]]&amp;" ("&amp;Table1[[#This Row],[Popular name]]&amp;")"</f>
        <v>Aspidosperma cruentum (My lady)</v>
      </c>
      <c r="D4" t="s">
        <v>37</v>
      </c>
      <c r="F4" t="s">
        <v>38</v>
      </c>
      <c r="J4" s="18" t="s">
        <v>44</v>
      </c>
      <c r="K4" s="18" t="s">
        <v>49</v>
      </c>
    </row>
    <row r="5" spans="1:11">
      <c r="A5" t="s">
        <v>30</v>
      </c>
      <c r="B5" t="s">
        <v>29</v>
      </c>
      <c r="C5" t="str">
        <f>Table1[[#This Row],[Scientific name]]&amp;" ("&amp;Table1[[#This Row],[Popular name]]&amp;")"</f>
        <v>Astoronium graveolens (Jobillo)</v>
      </c>
      <c r="D5" t="s">
        <v>39</v>
      </c>
    </row>
    <row r="6" spans="1:11">
      <c r="A6" t="s">
        <v>67</v>
      </c>
      <c r="B6" t="s">
        <v>29</v>
      </c>
      <c r="C6" s="24" t="str">
        <f>Table1[[#This Row],[Scientific name]]&amp;" ("&amp;Table1[[#This Row],[Popular name]]&amp;")"</f>
        <v>Astronium graveolens (Jobillo)</v>
      </c>
      <c r="D6" t="s">
        <v>37</v>
      </c>
    </row>
    <row r="7" spans="1:11">
      <c r="A7" t="s">
        <v>70</v>
      </c>
      <c r="B7" t="s">
        <v>71</v>
      </c>
      <c r="C7" s="24" t="str">
        <f>Table1[[#This Row],[Scientific name]]&amp;" ("&amp;Table1[[#This Row],[Popular name]]&amp;")"</f>
        <v>Attalea cohune (Cohune palm)</v>
      </c>
      <c r="D7" t="s">
        <v>39</v>
      </c>
    </row>
    <row r="8" spans="1:11">
      <c r="A8" t="s">
        <v>65</v>
      </c>
      <c r="B8" t="s">
        <v>66</v>
      </c>
      <c r="C8" s="24" t="str">
        <f>Table1[[#This Row],[Scientific name]]&amp;" ("&amp;Table1[[#This Row],[Popular name]]&amp;")"</f>
        <v>Avicenia germinans (Black mangrove)</v>
      </c>
      <c r="D8" t="s">
        <v>39</v>
      </c>
    </row>
    <row r="9" spans="1:11">
      <c r="A9" t="s">
        <v>80</v>
      </c>
      <c r="B9" t="s">
        <v>81</v>
      </c>
      <c r="C9" s="24" t="str">
        <f>Table1[[#This Row],[Scientific name]]&amp;" ("&amp;Table1[[#This Row],[Popular name]]&amp;")"</f>
        <v>Bactris major (Pokenoboy)</v>
      </c>
      <c r="D9" t="s">
        <v>39</v>
      </c>
    </row>
    <row r="10" spans="1:11">
      <c r="A10" t="s">
        <v>78</v>
      </c>
      <c r="B10" t="s">
        <v>79</v>
      </c>
      <c r="C10" s="24" t="str">
        <f>Table1[[#This Row],[Scientific name]]&amp;" ("&amp;Table1[[#This Row],[Popular name]]&amp;")"</f>
        <v>Bauhinia divaricata (cow foot)</v>
      </c>
      <c r="D10" t="s">
        <v>39</v>
      </c>
    </row>
    <row r="11" spans="1:11">
      <c r="A11" t="s">
        <v>82</v>
      </c>
      <c r="B11" t="s">
        <v>83</v>
      </c>
      <c r="C11" s="24" t="str">
        <f>Table1[[#This Row],[Scientific name]]&amp;" ("&amp;Table1[[#This Row],[Popular name]]&amp;")"</f>
        <v>Bourreria mollis (Wild craboo)</v>
      </c>
      <c r="D11" t="s">
        <v>39</v>
      </c>
    </row>
    <row r="12" spans="1:11">
      <c r="A12" t="s">
        <v>72</v>
      </c>
      <c r="B12" t="s">
        <v>73</v>
      </c>
      <c r="C12" s="24" t="str">
        <f>Table1[[#This Row],[Scientific name]]&amp;" ("&amp;Table1[[#This Row],[Popular name]]&amp;")"</f>
        <v>Brossimium alicastrum (Ramon)</v>
      </c>
      <c r="D12" t="s">
        <v>39</v>
      </c>
    </row>
    <row r="13" spans="1:11">
      <c r="A13" t="s">
        <v>74</v>
      </c>
      <c r="B13" t="s">
        <v>75</v>
      </c>
      <c r="C13" s="24" t="str">
        <f>Table1[[#This Row],[Scientific name]]&amp;" ("&amp;Table1[[#This Row],[Popular name]]&amp;")"</f>
        <v>Bucida buceras (Bullet tree)</v>
      </c>
      <c r="D13" t="s">
        <v>37</v>
      </c>
    </row>
    <row r="14" spans="1:11">
      <c r="A14" t="s">
        <v>84</v>
      </c>
      <c r="B14" t="s">
        <v>85</v>
      </c>
      <c r="C14" s="24" t="str">
        <f>Table1[[#This Row],[Scientific name]]&amp;" ("&amp;Table1[[#This Row],[Popular name]]&amp;")"</f>
        <v>Bursera simaruba (Red gumbolimbo)</v>
      </c>
      <c r="D14" t="s">
        <v>38</v>
      </c>
    </row>
    <row r="15" spans="1:11">
      <c r="A15" t="s">
        <v>76</v>
      </c>
      <c r="B15" t="s">
        <v>77</v>
      </c>
      <c r="C15" s="24" t="str">
        <f>Table1[[#This Row],[Scientific name]]&amp;" ("&amp;Table1[[#This Row],[Popular name]]&amp;")"</f>
        <v>Bysornima bucidaefolia (Sak paj)</v>
      </c>
      <c r="D15" t="s">
        <v>39</v>
      </c>
    </row>
    <row r="16" spans="1:11">
      <c r="A16" t="s">
        <v>104</v>
      </c>
      <c r="B16" t="s">
        <v>105</v>
      </c>
      <c r="C16" s="24" t="str">
        <f>Table1[[#This Row],[Scientific name]]&amp;" ("&amp;Table1[[#This Row],[Popular name]]&amp;")"</f>
        <v>Caesalpina gaumeri (Warree wood)</v>
      </c>
      <c r="D16" t="s">
        <v>37</v>
      </c>
    </row>
    <row r="17" spans="1:4">
      <c r="A17" t="s">
        <v>96</v>
      </c>
      <c r="B17" t="s">
        <v>97</v>
      </c>
      <c r="C17" s="24" t="str">
        <f>Table1[[#This Row],[Scientific name]]&amp;" ("&amp;Table1[[#This Row],[Popular name]]&amp;")"</f>
        <v>Calophyllum brasiliense (Santa Maria)</v>
      </c>
      <c r="D17" t="s">
        <v>37</v>
      </c>
    </row>
    <row r="18" spans="1:4">
      <c r="A18" t="s">
        <v>114</v>
      </c>
      <c r="B18" t="s">
        <v>115</v>
      </c>
      <c r="C18" s="24" t="str">
        <f>Table1[[#This Row],[Scientific name]]&amp;" ("&amp;Table1[[#This Row],[Popular name]]&amp;")"</f>
        <v>Calophyllum mexicanum (Wild caimito)</v>
      </c>
      <c r="D18" t="s">
        <v>39</v>
      </c>
    </row>
    <row r="19" spans="1:4">
      <c r="A19" t="s">
        <v>86</v>
      </c>
      <c r="B19" t="s">
        <v>87</v>
      </c>
      <c r="C19" s="24" t="str">
        <f>Table1[[#This Row],[Scientific name]]&amp;" ("&amp;Table1[[#This Row],[Popular name]]&amp;")"</f>
        <v>Calyprantes . Cf. chytraculia (Guayabillo)</v>
      </c>
      <c r="D19" t="s">
        <v>39</v>
      </c>
    </row>
    <row r="20" spans="1:4">
      <c r="A20" t="s">
        <v>112</v>
      </c>
      <c r="B20" t="s">
        <v>113</v>
      </c>
      <c r="C20" s="24" t="str">
        <f>Table1[[#This Row],[Scientific name]]&amp;" ("&amp;Table1[[#This Row],[Popular name]]&amp;")"</f>
        <v>Carapa guianensis (bastard water wood)</v>
      </c>
      <c r="D20" t="s">
        <v>39</v>
      </c>
    </row>
    <row r="21" spans="1:4">
      <c r="A21" t="s">
        <v>106</v>
      </c>
      <c r="B21" t="s">
        <v>107</v>
      </c>
      <c r="C21" s="24" t="str">
        <f>Table1[[#This Row],[Scientific name]]&amp;" ("&amp;Table1[[#This Row],[Popular name]]&amp;")"</f>
        <v>Cascabela gaumeri (Akits)</v>
      </c>
      <c r="D21" t="s">
        <v>39</v>
      </c>
    </row>
    <row r="22" spans="1:4">
      <c r="A22" t="s">
        <v>110</v>
      </c>
      <c r="B22" t="s">
        <v>111</v>
      </c>
      <c r="C22" s="24" t="str">
        <f>Table1[[#This Row],[Scientific name]]&amp;" ("&amp;Table1[[#This Row],[Popular name]]&amp;")"</f>
        <v>Cassia grandis (Stinking toe)</v>
      </c>
      <c r="D22" t="s">
        <v>39</v>
      </c>
    </row>
    <row r="23" spans="1:4">
      <c r="A23" t="s">
        <v>121</v>
      </c>
      <c r="B23" t="s">
        <v>122</v>
      </c>
      <c r="C23" s="24" t="str">
        <f>Table1[[#This Row],[Scientific name]]&amp;" ("&amp;Table1[[#This Row],[Popular name]]&amp;")"</f>
        <v>Cecropia peltata (Trumpet tree)</v>
      </c>
      <c r="D23" t="s">
        <v>39</v>
      </c>
    </row>
    <row r="24" spans="1:4">
      <c r="A24" t="s">
        <v>116</v>
      </c>
      <c r="B24" t="s">
        <v>117</v>
      </c>
      <c r="C24" s="24" t="str">
        <f>Table1[[#This Row],[Scientific name]]&amp;" ("&amp;Table1[[#This Row],[Popular name]]&amp;")"</f>
        <v>Cedrella odorata (Ceder)</v>
      </c>
      <c r="D24" t="s">
        <v>37</v>
      </c>
    </row>
    <row r="25" spans="1:4">
      <c r="A25" t="s">
        <v>118</v>
      </c>
      <c r="B25" t="s">
        <v>119</v>
      </c>
      <c r="C25" s="24" t="str">
        <f>Table1[[#This Row],[Scientific name]]&amp;" ("&amp;Table1[[#This Row],[Popular name]]&amp;")"</f>
        <v>Ceiba pentandra (Ceiba )</v>
      </c>
      <c r="D25" t="s">
        <v>39</v>
      </c>
    </row>
    <row r="26" spans="1:4">
      <c r="A26" t="s">
        <v>90</v>
      </c>
      <c r="B26" t="s">
        <v>91</v>
      </c>
      <c r="C26" s="24" t="str">
        <f>Table1[[#This Row],[Scientific name]]&amp;" ("&amp;Table1[[#This Row],[Popular name]]&amp;")"</f>
        <v>Coccoloba acapulsensis (no name)</v>
      </c>
      <c r="D26" t="s">
        <v>39</v>
      </c>
    </row>
    <row r="27" spans="1:4">
      <c r="A27" t="s">
        <v>94</v>
      </c>
      <c r="B27" t="s">
        <v>95</v>
      </c>
      <c r="C27" s="24" t="str">
        <f>Table1[[#This Row],[Scientific name]]&amp;" ("&amp;Table1[[#This Row],[Popular name]]&amp;")"</f>
        <v>Coccoloba belizensis (Grande betty)</v>
      </c>
      <c r="D27" t="s">
        <v>39</v>
      </c>
    </row>
    <row r="28" spans="1:4">
      <c r="A28" t="s">
        <v>273</v>
      </c>
      <c r="B28" t="s">
        <v>274</v>
      </c>
      <c r="C28" s="24" t="str">
        <f>Table1[[#This Row],[Scientific name]]&amp;" ("&amp;Table1[[#This Row],[Popular name]]&amp;")"</f>
        <v>Coccoloba diversifolia (Bob small leaf)</v>
      </c>
    </row>
    <row r="29" spans="1:4">
      <c r="A29" t="s">
        <v>92</v>
      </c>
      <c r="B29" t="s">
        <v>93</v>
      </c>
      <c r="C29" s="24" t="str">
        <f>Table1[[#This Row],[Scientific name]]&amp;" ("&amp;Table1[[#This Row],[Popular name]]&amp;")"</f>
        <v>Coccothrinax argentata (Silver palm)</v>
      </c>
      <c r="D29" t="s">
        <v>39</v>
      </c>
    </row>
    <row r="30" spans="1:4">
      <c r="A30" t="s">
        <v>108</v>
      </c>
      <c r="B30" t="s">
        <v>109</v>
      </c>
      <c r="C30" s="24" t="str">
        <f>Table1[[#This Row],[Scientific name]]&amp;" ("&amp;Table1[[#This Row],[Popular name]]&amp;")"</f>
        <v>Cojoba graciliflora (John crow bead)</v>
      </c>
      <c r="D30" t="s">
        <v>39</v>
      </c>
    </row>
    <row r="31" spans="1:4">
      <c r="A31" t="s">
        <v>102</v>
      </c>
      <c r="B31" t="s">
        <v>103</v>
      </c>
      <c r="C31" s="24" t="str">
        <f>Table1[[#This Row],[Scientific name]]&amp;" ("&amp;Table1[[#This Row],[Popular name]]&amp;")"</f>
        <v>Conocarpus erectus (Boton wood )</v>
      </c>
      <c r="D31" t="s">
        <v>39</v>
      </c>
    </row>
    <row r="32" spans="1:4">
      <c r="A32" t="s">
        <v>100</v>
      </c>
      <c r="B32" t="s">
        <v>101</v>
      </c>
      <c r="C32" s="24" t="str">
        <f>Table1[[#This Row],[Scientific name]]&amp;" ("&amp;Table1[[#This Row],[Popular name]]&amp;")"</f>
        <v>Cordia dodecandra (Ziricote)</v>
      </c>
      <c r="D32" t="s">
        <v>37</v>
      </c>
    </row>
    <row r="33" spans="1:4">
      <c r="A33" t="s">
        <v>120</v>
      </c>
      <c r="B33" t="s">
        <v>101</v>
      </c>
      <c r="C33" s="24" t="str">
        <f>Table1[[#This Row],[Scientific name]]&amp;" ("&amp;Table1[[#This Row],[Popular name]]&amp;")"</f>
        <v>Cordia sebestena (Ziricote)</v>
      </c>
      <c r="D33" t="s">
        <v>37</v>
      </c>
    </row>
    <row r="34" spans="1:4">
      <c r="A34" t="s">
        <v>98</v>
      </c>
      <c r="B34" t="s">
        <v>99</v>
      </c>
      <c r="C34" s="24" t="str">
        <f>Table1[[#This Row],[Scientific name]]&amp;" ("&amp;Table1[[#This Row],[Popular name]]&amp;")"</f>
        <v>Crescentia cujete (Calabash)</v>
      </c>
      <c r="D34" t="s">
        <v>39</v>
      </c>
    </row>
    <row r="35" spans="1:4">
      <c r="A35" t="s">
        <v>88</v>
      </c>
      <c r="B35" t="s">
        <v>89</v>
      </c>
      <c r="C35" s="24" t="str">
        <f>Table1[[#This Row],[Scientific name]]&amp;" ("&amp;Table1[[#This Row],[Popular name]]&amp;")"</f>
        <v>Crysophila stauracantha (Give and take)</v>
      </c>
      <c r="D35" t="s">
        <v>39</v>
      </c>
    </row>
    <row r="36" spans="1:4">
      <c r="A36" t="s">
        <v>12</v>
      </c>
      <c r="B36" t="s">
        <v>13</v>
      </c>
      <c r="C36" t="str">
        <f>Table1[[#This Row],[Scientific name]]&amp;" ("&amp;Table1[[#This Row],[Popular name]]&amp;")"</f>
        <v>Dead wood (CLASS 1)</v>
      </c>
      <c r="D36" t="s">
        <v>39</v>
      </c>
    </row>
    <row r="37" spans="1:4">
      <c r="A37" t="s">
        <v>12</v>
      </c>
      <c r="B37" t="s">
        <v>14</v>
      </c>
      <c r="C37" t="str">
        <f>Table1[[#This Row],[Scientific name]]&amp;" ("&amp;Table1[[#This Row],[Popular name]]&amp;")"</f>
        <v>Dead wood (CLASS 2)</v>
      </c>
      <c r="D37" t="s">
        <v>39</v>
      </c>
    </row>
    <row r="38" spans="1:4">
      <c r="A38" t="s">
        <v>131</v>
      </c>
      <c r="B38" t="s">
        <v>132</v>
      </c>
      <c r="C38" s="24" t="str">
        <f>Table1[[#This Row],[Scientific name]]&amp;" ("&amp;Table1[[#This Row],[Popular name]]&amp;")"</f>
        <v>Delonix regia (Flamboiant tree)</v>
      </c>
      <c r="D38" t="s">
        <v>39</v>
      </c>
    </row>
    <row r="39" spans="1:4">
      <c r="A39" t="s">
        <v>125</v>
      </c>
      <c r="B39" t="s">
        <v>126</v>
      </c>
      <c r="C39" s="24" t="str">
        <f>Table1[[#This Row],[Scientific name]]&amp;" ("&amp;Table1[[#This Row],[Popular name]]&amp;")"</f>
        <v>Dendropandax arboreus (White gumbolimbo)</v>
      </c>
      <c r="D39" t="s">
        <v>37</v>
      </c>
    </row>
    <row r="40" spans="1:4">
      <c r="A40" t="s">
        <v>133</v>
      </c>
      <c r="B40" t="s">
        <v>134</v>
      </c>
      <c r="C40" s="24" t="str">
        <f>Table1[[#This Row],[Scientific name]]&amp;" ("&amp;Table1[[#This Row],[Popular name]]&amp;")"</f>
        <v>Diospirus salcifolia (cyril)</v>
      </c>
      <c r="D40" t="s">
        <v>39</v>
      </c>
    </row>
    <row r="41" spans="1:4">
      <c r="A41" t="s">
        <v>123</v>
      </c>
      <c r="B41" t="s">
        <v>124</v>
      </c>
      <c r="C41" s="24" t="str">
        <f>Table1[[#This Row],[Scientific name]]&amp;" ("&amp;Table1[[#This Row],[Popular name]]&amp;")"</f>
        <v>Dracaena americana (Candle wood)</v>
      </c>
      <c r="D41" t="s">
        <v>39</v>
      </c>
    </row>
    <row r="42" spans="1:4">
      <c r="A42" t="s">
        <v>127</v>
      </c>
      <c r="B42" t="s">
        <v>128</v>
      </c>
      <c r="C42" s="24" t="str">
        <f>Table1[[#This Row],[Scientific name]]&amp;" ("&amp;Table1[[#This Row],[Popular name]]&amp;")"</f>
        <v>Drypetes browneii (male bullhoof)</v>
      </c>
      <c r="D42" t="s">
        <v>39</v>
      </c>
    </row>
    <row r="43" spans="1:4">
      <c r="A43" t="s">
        <v>129</v>
      </c>
      <c r="B43" t="s">
        <v>130</v>
      </c>
      <c r="C43" s="24" t="str">
        <f>Table1[[#This Row],[Scientific name]]&amp;" ("&amp;Table1[[#This Row],[Popular name]]&amp;")"</f>
        <v>Dyphisa carthaginensis (Susuk)</v>
      </c>
      <c r="D43" t="s">
        <v>37</v>
      </c>
    </row>
    <row r="44" spans="1:4">
      <c r="A44" t="s">
        <v>137</v>
      </c>
      <c r="B44" t="s">
        <v>138</v>
      </c>
      <c r="C44" s="24" t="str">
        <f>Table1[[#This Row],[Scientific name]]&amp;" ("&amp;Table1[[#This Row],[Popular name]]&amp;")"</f>
        <v>Enterolobium cyclocarpum (Guanacaste)</v>
      </c>
      <c r="D44" t="s">
        <v>37</v>
      </c>
    </row>
    <row r="45" spans="1:4">
      <c r="A45" t="s">
        <v>277</v>
      </c>
      <c r="B45" t="s">
        <v>278</v>
      </c>
      <c r="C45" s="24" t="str">
        <f>Table1[[#This Row],[Scientific name]]&amp;" ("&amp;Table1[[#This Row],[Popular name]]&amp;")"</f>
        <v>Erythoxylum guatemalensis (Chokche)</v>
      </c>
    </row>
    <row r="46" spans="1:4">
      <c r="A46" t="s">
        <v>135</v>
      </c>
      <c r="B46" t="s">
        <v>136</v>
      </c>
      <c r="C46" s="24" t="str">
        <f>Table1[[#This Row],[Scientific name]]&amp;" ("&amp;Table1[[#This Row],[Popular name]]&amp;")"</f>
        <v>Exothea diphylla (uayamcox)</v>
      </c>
      <c r="D46" t="s">
        <v>39</v>
      </c>
    </row>
    <row r="47" spans="1:4">
      <c r="A47" t="s">
        <v>141</v>
      </c>
      <c r="B47" t="s">
        <v>142</v>
      </c>
      <c r="C47" s="24" t="str">
        <f>Table1[[#This Row],[Scientific name]]&amp;" ("&amp;Table1[[#This Row],[Popular name]]&amp;")"</f>
        <v>ficus sp. (Ficus)</v>
      </c>
      <c r="D47" t="s">
        <v>39</v>
      </c>
    </row>
    <row r="48" spans="1:4">
      <c r="A48" t="s">
        <v>139</v>
      </c>
      <c r="B48" t="s">
        <v>140</v>
      </c>
      <c r="C48" s="24" t="str">
        <f>Table1[[#This Row],[Scientific name]]&amp;" ("&amp;Table1[[#This Row],[Popular name]]&amp;")"</f>
        <v>Ficus sp. Obtusifolia (Amate matapalo)</v>
      </c>
      <c r="D48" t="s">
        <v>39</v>
      </c>
    </row>
    <row r="49" spans="1:4">
      <c r="A49" t="s">
        <v>149</v>
      </c>
      <c r="B49" t="s">
        <v>150</v>
      </c>
      <c r="C49" s="24" t="str">
        <f>Table1[[#This Row],[Scientific name]]&amp;" ("&amp;Table1[[#This Row],[Popular name]]&amp;")"</f>
        <v>Gaussia maya (Maya palm)</v>
      </c>
      <c r="D49" t="s">
        <v>39</v>
      </c>
    </row>
    <row r="50" spans="1:4">
      <c r="A50" t="s">
        <v>151</v>
      </c>
      <c r="B50" t="s">
        <v>152</v>
      </c>
      <c r="C50" s="24" t="str">
        <f>Table1[[#This Row],[Scientific name]]&amp;" ("&amp;Table1[[#This Row],[Popular name]]&amp;")"</f>
        <v>Gliricidia sepium (Madre cacoa)</v>
      </c>
      <c r="D50" t="s">
        <v>37</v>
      </c>
    </row>
    <row r="51" spans="1:4">
      <c r="A51" t="s">
        <v>153</v>
      </c>
      <c r="B51" t="s">
        <v>154</v>
      </c>
      <c r="C51" s="24" t="str">
        <f>Table1[[#This Row],[Scientific name]]&amp;" ("&amp;Table1[[#This Row],[Popular name]]&amp;")"</f>
        <v>Guazuma ulmifolia (Bay cedar)</v>
      </c>
      <c r="D51" t="s">
        <v>39</v>
      </c>
    </row>
    <row r="52" spans="1:4">
      <c r="A52" t="s">
        <v>143</v>
      </c>
      <c r="B52" t="s">
        <v>144</v>
      </c>
      <c r="C52" s="24" t="str">
        <f>Table1[[#This Row],[Scientific name]]&amp;" ("&amp;Table1[[#This Row],[Popular name]]&amp;")"</f>
        <v>Guettarda combsii (Glassy wood)</v>
      </c>
      <c r="D52" t="s">
        <v>39</v>
      </c>
    </row>
    <row r="53" spans="1:4">
      <c r="A53" t="s">
        <v>147</v>
      </c>
      <c r="B53" t="s">
        <v>148</v>
      </c>
      <c r="C53" s="24" t="str">
        <f>Table1[[#This Row],[Scientific name]]&amp;" ("&amp;Table1[[#This Row],[Popular name]]&amp;")"</f>
        <v>Gymnathes lucida (Pi )</v>
      </c>
      <c r="D53" t="s">
        <v>37</v>
      </c>
    </row>
    <row r="54" spans="1:4">
      <c r="A54" t="s">
        <v>145</v>
      </c>
      <c r="B54" t="s">
        <v>146</v>
      </c>
      <c r="C54" s="24" t="str">
        <f>Table1[[#This Row],[Scientific name]]&amp;" ("&amp;Table1[[#This Row],[Popular name]]&amp;")"</f>
        <v>Gymopodium floribundum (Canelita)</v>
      </c>
      <c r="D54" t="s">
        <v>39</v>
      </c>
    </row>
    <row r="55" spans="1:4">
      <c r="A55" t="s">
        <v>159</v>
      </c>
      <c r="B55" t="s">
        <v>160</v>
      </c>
      <c r="C55" s="24" t="str">
        <f>Table1[[#This Row],[Scientific name]]&amp;" ("&amp;Table1[[#This Row],[Popular name]]&amp;")"</f>
        <v>Haemotoxylon campechianum  (Log wood)</v>
      </c>
      <c r="D55" t="s">
        <v>37</v>
      </c>
    </row>
    <row r="56" spans="1:4">
      <c r="A56" t="s">
        <v>163</v>
      </c>
      <c r="B56" t="s">
        <v>164</v>
      </c>
      <c r="C56" s="24" t="str">
        <f>Table1[[#This Row],[Scientific name]]&amp;" ("&amp;Table1[[#This Row],[Popular name]]&amp;")"</f>
        <v>Hampea trilobata (Moho)</v>
      </c>
      <c r="D56" t="s">
        <v>39</v>
      </c>
    </row>
    <row r="57" spans="1:4">
      <c r="A57" t="s">
        <v>161</v>
      </c>
      <c r="B57" t="s">
        <v>162</v>
      </c>
      <c r="C57" s="24" t="str">
        <f>Table1[[#This Row],[Scientific name]]&amp;" ("&amp;Table1[[#This Row],[Popular name]]&amp;")"</f>
        <v>Handroanthus chrisantus (Canlol)</v>
      </c>
      <c r="D57" t="s">
        <v>39</v>
      </c>
    </row>
    <row r="58" spans="1:4">
      <c r="A58" t="s">
        <v>157</v>
      </c>
      <c r="B58" t="s">
        <v>158</v>
      </c>
      <c r="C58" s="24" t="str">
        <f>Table1[[#This Row],[Scientific name]]&amp;" ("&amp;Table1[[#This Row],[Popular name]]&amp;")"</f>
        <v>Hirtella americana (Pigeon plum)</v>
      </c>
      <c r="D58" t="s">
        <v>39</v>
      </c>
    </row>
    <row r="59" spans="1:4">
      <c r="A59" t="s">
        <v>165</v>
      </c>
      <c r="B59" t="s">
        <v>166</v>
      </c>
      <c r="C59" s="24" t="str">
        <f>Table1[[#This Row],[Scientific name]]&amp;" ("&amp;Table1[[#This Row],[Popular name]]&amp;")"</f>
        <v>krujiodentrom ferreum (Axe master)</v>
      </c>
      <c r="D59" t="s">
        <v>37</v>
      </c>
    </row>
    <row r="60" spans="1:4">
      <c r="A60" t="s">
        <v>176</v>
      </c>
      <c r="B60" t="s">
        <v>177</v>
      </c>
      <c r="C60" s="24" t="str">
        <f>Table1[[#This Row],[Scientific name]]&amp;" ("&amp;Table1[[#This Row],[Popular name]]&amp;")"</f>
        <v>Laethia thamnia (Night perfume)</v>
      </c>
      <c r="D60" t="s">
        <v>39</v>
      </c>
    </row>
    <row r="61" spans="1:4">
      <c r="A61" t="s">
        <v>170</v>
      </c>
      <c r="B61" t="s">
        <v>171</v>
      </c>
      <c r="C61" s="24" t="str">
        <f>Table1[[#This Row],[Scientific name]]&amp;" ("&amp;Table1[[#This Row],[Popular name]]&amp;")"</f>
        <v>Laguncularia rasemosa (White mangrove )</v>
      </c>
      <c r="D61" t="s">
        <v>39</v>
      </c>
    </row>
    <row r="62" spans="1:4">
      <c r="A62" t="s">
        <v>168</v>
      </c>
      <c r="B62" t="s">
        <v>169</v>
      </c>
      <c r="C62" s="24" t="str">
        <f>Table1[[#This Row],[Scientific name]]&amp;" ("&amp;Table1[[#This Row],[Popular name]]&amp;")"</f>
        <v>Licaria peckii (Timber sweet)</v>
      </c>
      <c r="D62" t="s">
        <v>39</v>
      </c>
    </row>
    <row r="63" spans="1:4">
      <c r="A63" t="s">
        <v>167</v>
      </c>
      <c r="B63" t="s">
        <v>11</v>
      </c>
      <c r="C63" s="24" t="str">
        <f>Table1[[#This Row],[Scientific name]]&amp;" ("&amp;Table1[[#This Row],[Popular name]]&amp;")"</f>
        <v>Lonchocarpus castilloii (Machich)</v>
      </c>
      <c r="D63" t="s">
        <v>37</v>
      </c>
    </row>
    <row r="64" spans="1:4">
      <c r="A64" t="s">
        <v>172</v>
      </c>
      <c r="B64" t="s">
        <v>173</v>
      </c>
      <c r="C64" s="24" t="str">
        <f>Table1[[#This Row],[Scientific name]]&amp;" ("&amp;Table1[[#This Row],[Popular name]]&amp;")"</f>
        <v>Lonchocarpus rugosus (Canasin )</v>
      </c>
      <c r="D64" t="s">
        <v>37</v>
      </c>
    </row>
    <row r="65" spans="1:4">
      <c r="A65" t="s">
        <v>174</v>
      </c>
      <c r="B65" t="s">
        <v>175</v>
      </c>
      <c r="C65" s="24" t="str">
        <f>Table1[[#This Row],[Scientific name]]&amp;" ("&amp;Table1[[#This Row],[Popular name]]&amp;")"</f>
        <v>Luehea speciosa (Mountain Moho)</v>
      </c>
      <c r="D65" t="s">
        <v>39</v>
      </c>
    </row>
    <row r="66" spans="1:4">
      <c r="A66" t="s">
        <v>178</v>
      </c>
      <c r="B66" t="s">
        <v>179</v>
      </c>
      <c r="C66" s="24" t="str">
        <f>Table1[[#This Row],[Scientific name]]&amp;" ("&amp;Table1[[#This Row],[Popular name]]&amp;")"</f>
        <v>Lysiloma latisiliquum (Tzalam)</v>
      </c>
      <c r="D66" t="s">
        <v>39</v>
      </c>
    </row>
    <row r="67" spans="1:4">
      <c r="A67" t="s">
        <v>180</v>
      </c>
      <c r="B67" t="s">
        <v>181</v>
      </c>
      <c r="C67" s="24" t="str">
        <f>Table1[[#This Row],[Scientific name]]&amp;" ("&amp;Table1[[#This Row],[Popular name]]&amp;")"</f>
        <v>Manilkara chicle (Sapodilla)</v>
      </c>
      <c r="D67" t="s">
        <v>39</v>
      </c>
    </row>
    <row r="68" spans="1:4">
      <c r="A68" t="s">
        <v>184</v>
      </c>
      <c r="B68" t="s">
        <v>185</v>
      </c>
      <c r="C68" s="24" t="str">
        <f>Table1[[#This Row],[Scientific name]]&amp;" ("&amp;Table1[[#This Row],[Popular name]]&amp;")"</f>
        <v>Matayba oppositifolia (Wild kinep)</v>
      </c>
      <c r="D68" t="s">
        <v>39</v>
      </c>
    </row>
    <row r="69" spans="1:4">
      <c r="A69" t="s">
        <v>272</v>
      </c>
      <c r="B69" t="s">
        <v>186</v>
      </c>
      <c r="C69" s="24" t="str">
        <f>Table1[[#This Row],[Scientific name]]&amp;" ("&amp;Table1[[#This Row],[Popular name]]&amp;")"</f>
        <v>Metopium brownei (Black poision wood)</v>
      </c>
      <c r="D69" t="s">
        <v>39</v>
      </c>
    </row>
    <row r="70" spans="1:4">
      <c r="A70" t="s">
        <v>182</v>
      </c>
      <c r="B70" t="s">
        <v>183</v>
      </c>
      <c r="C70" s="24" t="str">
        <f>Table1[[#This Row],[Scientific name]]&amp;" ("&amp;Table1[[#This Row],[Popular name]]&amp;")"</f>
        <v>Mosannona depressa (Elemuy)</v>
      </c>
      <c r="D70" t="s">
        <v>37</v>
      </c>
    </row>
    <row r="71" spans="1:4">
      <c r="A71" t="s">
        <v>187</v>
      </c>
      <c r="B71" t="s">
        <v>87</v>
      </c>
      <c r="C71" s="24" t="str">
        <f>Table1[[#This Row],[Scientific name]]&amp;" ("&amp;Table1[[#This Row],[Popular name]]&amp;")"</f>
        <v>Myrcianthes fragrans (Guayabillo)</v>
      </c>
      <c r="D71" t="s">
        <v>39</v>
      </c>
    </row>
    <row r="72" spans="1:4">
      <c r="A72" t="s">
        <v>190</v>
      </c>
      <c r="B72" t="s">
        <v>191</v>
      </c>
      <c r="C72" s="24" t="str">
        <f>Table1[[#This Row],[Scientific name]]&amp;" ("&amp;Table1[[#This Row],[Popular name]]&amp;")"</f>
        <v>Nectandra Cf. coreacea (Laurel macho)</v>
      </c>
      <c r="D72" t="s">
        <v>39</v>
      </c>
    </row>
    <row r="73" spans="1:4">
      <c r="A73" t="s">
        <v>192</v>
      </c>
      <c r="B73" t="s">
        <v>193</v>
      </c>
      <c r="C73" s="24" t="str">
        <f>Table1[[#This Row],[Scientific name]]&amp;" ("&amp;Table1[[#This Row],[Popular name]]&amp;")"</f>
        <v>Ormosio sp. (Hormigo)</v>
      </c>
      <c r="D73" t="s">
        <v>39</v>
      </c>
    </row>
    <row r="74" spans="1:4">
      <c r="A74" t="s">
        <v>188</v>
      </c>
      <c r="B74" t="s">
        <v>189</v>
      </c>
      <c r="C74" s="24" t="str">
        <f>Table1[[#This Row],[Scientific name]]&amp;" ("&amp;Table1[[#This Row],[Popular name]]&amp;")"</f>
        <v>Ouratea lucens (Laurel)</v>
      </c>
      <c r="D74" t="s">
        <v>39</v>
      </c>
    </row>
    <row r="75" spans="1:4">
      <c r="A75" t="s">
        <v>196</v>
      </c>
      <c r="B75" t="s">
        <v>197</v>
      </c>
      <c r="C75" s="24" t="str">
        <f>Table1[[#This Row],[Scientific name]]&amp;" ("&amp;Table1[[#This Row],[Popular name]]&amp;")"</f>
        <v>Pachira aquatica (Provision tree/ santo domingo)</v>
      </c>
      <c r="D75" t="s">
        <v>39</v>
      </c>
    </row>
    <row r="76" spans="1:4">
      <c r="A76" t="s">
        <v>198</v>
      </c>
      <c r="B76" t="s">
        <v>199</v>
      </c>
      <c r="C76" s="24" t="str">
        <f>Table1[[#This Row],[Scientific name]]&amp;" ("&amp;Table1[[#This Row],[Popular name]]&amp;")"</f>
        <v>Pauteria  campechiana (Mammee cirella)</v>
      </c>
      <c r="D76" t="s">
        <v>39</v>
      </c>
    </row>
    <row r="77" spans="1:4">
      <c r="A77" t="s">
        <v>194</v>
      </c>
      <c r="B77" t="s">
        <v>195</v>
      </c>
      <c r="C77" s="24" t="str">
        <f>Table1[[#This Row],[Scientific name]]&amp;" ("&amp;Table1[[#This Row],[Popular name]]&amp;")"</f>
        <v>Pauteria amygdalina (Red silion)</v>
      </c>
      <c r="D77" t="s">
        <v>39</v>
      </c>
    </row>
    <row r="78" spans="1:4">
      <c r="A78" t="s">
        <v>210</v>
      </c>
      <c r="B78" t="s">
        <v>211</v>
      </c>
      <c r="C78" s="24" t="str">
        <f>Table1[[#This Row],[Scientific name]]&amp;" ("&amp;Table1[[#This Row],[Popular name]]&amp;")"</f>
        <v>Pauteria reticulata (Sapotillo)</v>
      </c>
      <c r="D78" t="s">
        <v>39</v>
      </c>
    </row>
    <row r="79" spans="1:4">
      <c r="A79" t="s">
        <v>202</v>
      </c>
      <c r="B79" t="s">
        <v>203</v>
      </c>
      <c r="C79" s="24" t="str">
        <f>Table1[[#This Row],[Scientific name]]&amp;" ("&amp;Table1[[#This Row],[Popular name]]&amp;")"</f>
        <v>Pimenta dioica (Allspice)</v>
      </c>
      <c r="D79" t="s">
        <v>39</v>
      </c>
    </row>
    <row r="80" spans="1:4">
      <c r="A80" t="s">
        <v>206</v>
      </c>
      <c r="B80" t="s">
        <v>207</v>
      </c>
      <c r="C80" s="24" t="str">
        <f>Table1[[#This Row],[Scientific name]]&amp;" ("&amp;Table1[[#This Row],[Popular name]]&amp;")"</f>
        <v>Piper jacquemontanum (Spanish elder)</v>
      </c>
      <c r="D80" t="s">
        <v>39</v>
      </c>
    </row>
    <row r="81" spans="1:4">
      <c r="A81" t="s">
        <v>218</v>
      </c>
      <c r="B81" t="s">
        <v>219</v>
      </c>
      <c r="C81" s="24" t="str">
        <f>Table1[[#This Row],[Scientific name]]&amp;" ("&amp;Table1[[#This Row],[Popular name]]&amp;")"</f>
        <v>Piscidia piscipula (Dog wood)</v>
      </c>
      <c r="D81" t="s">
        <v>37</v>
      </c>
    </row>
    <row r="82" spans="1:4">
      <c r="A82" t="s">
        <v>155</v>
      </c>
      <c r="B82" t="s">
        <v>156</v>
      </c>
      <c r="C82" s="24" t="str">
        <f>Table1[[#This Row],[Scientific name]]&amp;" ("&amp;Table1[[#This Row],[Popular name]]&amp;")"</f>
        <v>Pithecolombium albicans (Wild tamarind)</v>
      </c>
      <c r="D82" t="s">
        <v>39</v>
      </c>
    </row>
    <row r="83" spans="1:4">
      <c r="A83" t="s">
        <v>216</v>
      </c>
      <c r="B83" t="s">
        <v>217</v>
      </c>
      <c r="C83" s="24" t="str">
        <f>Table1[[#This Row],[Scientific name]]&amp;" ("&amp;Table1[[#This Row],[Popular name]]&amp;")"</f>
        <v>Platymiscium dimorphandrum (Granadillo)</v>
      </c>
      <c r="D83" t="s">
        <v>37</v>
      </c>
    </row>
    <row r="84" spans="1:4">
      <c r="A84" t="s">
        <v>208</v>
      </c>
      <c r="B84" t="s">
        <v>209</v>
      </c>
      <c r="C84" s="24" t="str">
        <f>Table1[[#This Row],[Scientific name]]&amp;" ("&amp;Table1[[#This Row],[Popular name]]&amp;")"</f>
        <v>Plumeria optusa (May flower)</v>
      </c>
      <c r="D84" t="s">
        <v>39</v>
      </c>
    </row>
    <row r="85" spans="1:4">
      <c r="A85" t="s">
        <v>200</v>
      </c>
      <c r="B85" t="s">
        <v>201</v>
      </c>
      <c r="C85" s="24" t="str">
        <f>Table1[[#This Row],[Scientific name]]&amp;" ("&amp;Table1[[#This Row],[Popular name]]&amp;")"</f>
        <v>Protium copal (Copal)</v>
      </c>
      <c r="D85" t="s">
        <v>38</v>
      </c>
    </row>
    <row r="86" spans="1:4">
      <c r="A86" t="s">
        <v>204</v>
      </c>
      <c r="B86" t="s">
        <v>205</v>
      </c>
      <c r="C86" s="24" t="str">
        <f>Table1[[#This Row],[Scientific name]]&amp;" ("&amp;Table1[[#This Row],[Popular name]]&amp;")"</f>
        <v>Pseudbombax ellipticum (Mapola)</v>
      </c>
      <c r="D86" t="s">
        <v>39</v>
      </c>
    </row>
    <row r="87" spans="1:4">
      <c r="A87" t="s">
        <v>214</v>
      </c>
      <c r="B87" t="s">
        <v>215</v>
      </c>
      <c r="C87" s="24" t="str">
        <f>Table1[[#This Row],[Scientific name]]&amp;" ("&amp;Table1[[#This Row],[Popular name]]&amp;")"</f>
        <v>pseudolmedia spuria (Wild  cherry)</v>
      </c>
      <c r="D87" t="s">
        <v>39</v>
      </c>
    </row>
    <row r="88" spans="1:4">
      <c r="A88" t="s">
        <v>212</v>
      </c>
      <c r="B88" t="s">
        <v>213</v>
      </c>
      <c r="C88" s="24" t="str">
        <f>Table1[[#This Row],[Scientific name]]&amp;" ("&amp;Table1[[#This Row],[Popular name]]&amp;")"</f>
        <v>Pseudophoenix sargentii (Kuka palm)</v>
      </c>
      <c r="D88" t="s">
        <v>39</v>
      </c>
    </row>
    <row r="89" spans="1:4">
      <c r="A89" t="s">
        <v>222</v>
      </c>
      <c r="B89" t="s">
        <v>223</v>
      </c>
      <c r="C89" s="24" t="str">
        <f>Table1[[#This Row],[Scientific name]]&amp;" ("&amp;Table1[[#This Row],[Popular name]]&amp;")"</f>
        <v>Rhizophora mangle (Red mangrove)</v>
      </c>
      <c r="D89" t="s">
        <v>39</v>
      </c>
    </row>
    <row r="90" spans="1:4">
      <c r="A90" t="s">
        <v>220</v>
      </c>
      <c r="B90" t="s">
        <v>221</v>
      </c>
      <c r="C90" s="24" t="str">
        <f>Table1[[#This Row],[Scientific name]]&amp;" ("&amp;Table1[[#This Row],[Popular name]]&amp;")"</f>
        <v>Rinnorea. guatemalensis (Wild coffee)</v>
      </c>
      <c r="D90" t="s">
        <v>39</v>
      </c>
    </row>
    <row r="91" spans="1:4">
      <c r="A91" t="s">
        <v>224</v>
      </c>
      <c r="B91" t="s">
        <v>225</v>
      </c>
      <c r="C91" s="24" t="str">
        <f>Table1[[#This Row],[Scientific name]]&amp;" ("&amp;Table1[[#This Row],[Popular name]]&amp;")"</f>
        <v>Roystonea regia (Royal palm )</v>
      </c>
      <c r="D91" t="s">
        <v>39</v>
      </c>
    </row>
    <row r="92" spans="1:4">
      <c r="A92" t="s">
        <v>236</v>
      </c>
      <c r="B92" t="s">
        <v>237</v>
      </c>
      <c r="C92" s="24" t="str">
        <f>Table1[[#This Row],[Scientific name]]&amp;" ("&amp;Table1[[#This Row],[Popular name]]&amp;")"</f>
        <v>Sabal mauritiformis (Bay leaf)</v>
      </c>
      <c r="D92" t="s">
        <v>39</v>
      </c>
    </row>
    <row r="93" spans="1:4">
      <c r="A93" t="s">
        <v>244</v>
      </c>
      <c r="B93" t="s">
        <v>245</v>
      </c>
      <c r="C93" s="24" t="str">
        <f>Table1[[#This Row],[Scientific name]]&amp;" ("&amp;Table1[[#This Row],[Popular name]]&amp;")"</f>
        <v>Sebastiana tuerckheimiana (White poision wood)</v>
      </c>
      <c r="D93" t="s">
        <v>39</v>
      </c>
    </row>
    <row r="94" spans="1:4">
      <c r="A94" t="s">
        <v>238</v>
      </c>
      <c r="B94" t="s">
        <v>239</v>
      </c>
      <c r="C94" s="24" t="str">
        <f>Table1[[#This Row],[Scientific name]]&amp;" ("&amp;Table1[[#This Row],[Popular name]]&amp;")"</f>
        <v>Semialarium mexicanum (Palo de rosa)</v>
      </c>
      <c r="D94" t="s">
        <v>39</v>
      </c>
    </row>
    <row r="95" spans="1:4">
      <c r="A95" t="s">
        <v>232</v>
      </c>
      <c r="B95" t="s">
        <v>233</v>
      </c>
      <c r="C95" s="24" t="str">
        <f>Table1[[#This Row],[Scientific name]]&amp;" ("&amp;Table1[[#This Row],[Popular name]]&amp;")"</f>
        <v>Sideroxylon foetidissimum (cream tree)</v>
      </c>
      <c r="D95" t="s">
        <v>39</v>
      </c>
    </row>
    <row r="96" spans="1:4">
      <c r="A96" t="s">
        <v>226</v>
      </c>
      <c r="B96" t="s">
        <v>227</v>
      </c>
      <c r="C96" s="24" t="str">
        <f>Table1[[#This Row],[Scientific name]]&amp;" ("&amp;Table1[[#This Row],[Popular name]]&amp;")"</f>
        <v>Simaruba amara (Negrito)</v>
      </c>
      <c r="D96" t="s">
        <v>37</v>
      </c>
    </row>
    <row r="97" spans="1:4">
      <c r="A97" t="s">
        <v>242</v>
      </c>
      <c r="B97" t="s">
        <v>243</v>
      </c>
      <c r="C97" s="24" t="str">
        <f>Table1[[#This Row],[Scientific name]]&amp;" ("&amp;Table1[[#This Row],[Popular name]]&amp;")"</f>
        <v>Simira salvadorensis (Red wood)</v>
      </c>
      <c r="D97" t="s">
        <v>37</v>
      </c>
    </row>
    <row r="98" spans="1:4">
      <c r="A98" t="s">
        <v>240</v>
      </c>
      <c r="B98" t="s">
        <v>241</v>
      </c>
      <c r="C98" s="24" t="str">
        <f>Table1[[#This Row],[Scientific name]]&amp;" ("&amp;Table1[[#This Row],[Popular name]]&amp;")"</f>
        <v>Spondias mombin (Hog plum)</v>
      </c>
      <c r="D98" t="s">
        <v>39</v>
      </c>
    </row>
    <row r="99" spans="1:4">
      <c r="A99" t="s">
        <v>228</v>
      </c>
      <c r="B99" t="s">
        <v>229</v>
      </c>
      <c r="C99" s="24" t="str">
        <f>Table1[[#This Row],[Scientific name]]&amp;" ("&amp;Table1[[#This Row],[Popular name]]&amp;")"</f>
        <v>Swartzia cubensis (katalox)</v>
      </c>
      <c r="D99" t="s">
        <v>39</v>
      </c>
    </row>
    <row r="100" spans="1:4">
      <c r="A100" t="s">
        <v>234</v>
      </c>
      <c r="B100" t="s">
        <v>235</v>
      </c>
      <c r="C100" s="24" t="str">
        <f>Table1[[#This Row],[Scientific name]]&amp;" ("&amp;Table1[[#This Row],[Popular name]]&amp;")"</f>
        <v>Sweitenia macrophylla (Mahogany)</v>
      </c>
      <c r="D100" t="s">
        <v>37</v>
      </c>
    </row>
    <row r="101" spans="1:4">
      <c r="A101" t="s">
        <v>3</v>
      </c>
      <c r="B101" t="s">
        <v>4</v>
      </c>
      <c r="C101" t="str">
        <f>Table1[[#This Row],[Scientific name]]&amp;" ("&amp;Table1[[#This Row],[Popular name]]&amp;")"</f>
        <v>Swietenia macrophylla (Cauba)</v>
      </c>
      <c r="D101" t="s">
        <v>37</v>
      </c>
    </row>
    <row r="102" spans="1:4">
      <c r="A102" t="s">
        <v>254</v>
      </c>
      <c r="B102" t="s">
        <v>255</v>
      </c>
      <c r="C102" s="24" t="str">
        <f>Table1[[#This Row],[Scientific name]]&amp;" ("&amp;Table1[[#This Row],[Popular name]]&amp;")"</f>
        <v>Tabernaemontan alba (Dog balls)</v>
      </c>
      <c r="D102" t="s">
        <v>39</v>
      </c>
    </row>
    <row r="103" spans="1:4">
      <c r="A103" t="s">
        <v>230</v>
      </c>
      <c r="B103" t="s">
        <v>231</v>
      </c>
      <c r="C103" s="24" t="str">
        <f>Table1[[#This Row],[Scientific name]]&amp;" ("&amp;Table1[[#This Row],[Popular name]]&amp;")"</f>
        <v>Tabernaemontana donnell smithii (Horse balls)</v>
      </c>
      <c r="D103" t="s">
        <v>39</v>
      </c>
    </row>
    <row r="104" spans="1:4">
      <c r="A104" t="s">
        <v>248</v>
      </c>
      <c r="B104" t="s">
        <v>249</v>
      </c>
      <c r="C104" s="24" t="str">
        <f>Table1[[#This Row],[Scientific name]]&amp;" ("&amp;Table1[[#This Row],[Popular name]]&amp;")"</f>
        <v>Talisia mollis (uayum)</v>
      </c>
      <c r="D104" t="s">
        <v>39</v>
      </c>
    </row>
    <row r="105" spans="1:4">
      <c r="A105" t="s">
        <v>258</v>
      </c>
      <c r="B105" t="s">
        <v>259</v>
      </c>
      <c r="C105" s="24" t="str">
        <f>Table1[[#This Row],[Scientific name]]&amp;" ("&amp;Table1[[#This Row],[Popular name]]&amp;")"</f>
        <v>Thouinia paucidentata (Dzol)</v>
      </c>
      <c r="D105" t="s">
        <v>39</v>
      </c>
    </row>
    <row r="106" spans="1:4">
      <c r="A106" t="s">
        <v>252</v>
      </c>
      <c r="B106" t="s">
        <v>253</v>
      </c>
      <c r="C106" s="24" t="str">
        <f>Table1[[#This Row],[Scientific name]]&amp;" ("&amp;Table1[[#This Row],[Popular name]]&amp;")"</f>
        <v>Thrinax radiata (Chit palm)</v>
      </c>
      <c r="D106" t="s">
        <v>39</v>
      </c>
    </row>
    <row r="107" spans="1:4">
      <c r="A107" t="s">
        <v>246</v>
      </c>
      <c r="B107" t="s">
        <v>247</v>
      </c>
      <c r="C107" s="24" t="str">
        <f>Table1[[#This Row],[Scientific name]]&amp;" ("&amp;Table1[[#This Row],[Popular name]]&amp;")"</f>
        <v>Trema micrantha (Capulin)</v>
      </c>
      <c r="D107" t="s">
        <v>39</v>
      </c>
    </row>
    <row r="108" spans="1:4">
      <c r="A108" t="s">
        <v>256</v>
      </c>
      <c r="B108" t="s">
        <v>257</v>
      </c>
      <c r="C108" s="24" t="str">
        <f>Table1[[#This Row],[Scientific name]]&amp;" ("&amp;Table1[[#This Row],[Popular name]]&amp;")"</f>
        <v>Trichilia minutiflora (wild lime)</v>
      </c>
      <c r="D108" t="s">
        <v>39</v>
      </c>
    </row>
    <row r="109" spans="1:4">
      <c r="A109" t="s">
        <v>250</v>
      </c>
      <c r="B109" t="s">
        <v>251</v>
      </c>
      <c r="C109" s="24" t="str">
        <f>Table1[[#This Row],[Scientific name]]&amp;" ("&amp;Table1[[#This Row],[Popular name]]&amp;")"</f>
        <v>Trophis racemosa (Red ramon)</v>
      </c>
      <c r="D109" t="s">
        <v>39</v>
      </c>
    </row>
    <row r="110" spans="1:4">
      <c r="A110" t="s">
        <v>275</v>
      </c>
      <c r="B110" t="s">
        <v>276</v>
      </c>
      <c r="C110" s="24" t="str">
        <f>Table1[[#This Row],[Scientific name]]&amp;" ("&amp;Table1[[#This Row],[Popular name]]&amp;")"</f>
        <v>Uknown (Unknown)</v>
      </c>
    </row>
    <row r="111" spans="1:4">
      <c r="A111" t="s">
        <v>260</v>
      </c>
      <c r="B111" t="s">
        <v>261</v>
      </c>
      <c r="C111" s="24" t="str">
        <f>Table1[[#This Row],[Scientific name]]&amp;" ("&amp;Table1[[#This Row],[Popular name]]&amp;")"</f>
        <v>vitex gaumeri (fiddle wood)</v>
      </c>
      <c r="D111" t="s">
        <v>37</v>
      </c>
    </row>
    <row r="112" spans="1:4">
      <c r="A112" t="s">
        <v>262</v>
      </c>
      <c r="B112" t="s">
        <v>263</v>
      </c>
      <c r="C112" s="24" t="str">
        <f>Table1[[#This Row],[Scientific name]]&amp;" ("&amp;Table1[[#This Row],[Popular name]]&amp;")"</f>
        <v>xylopia frutesense (Pole wood)</v>
      </c>
      <c r="D112" t="s">
        <v>39</v>
      </c>
    </row>
    <row r="113" spans="1:4">
      <c r="A113" t="s">
        <v>264</v>
      </c>
      <c r="B113" t="s">
        <v>265</v>
      </c>
      <c r="C113" s="24" t="str">
        <f>Table1[[#This Row],[Scientific name]]&amp;" ("&amp;Table1[[#This Row],[Popular name]]&amp;")"</f>
        <v>Zanthoxylum caribaeum (Zinanche)</v>
      </c>
      <c r="D113" t="s">
        <v>38</v>
      </c>
    </row>
    <row r="114" spans="1:4">
      <c r="A114" t="s">
        <v>268</v>
      </c>
      <c r="B114" t="s">
        <v>269</v>
      </c>
      <c r="C114" s="24" t="str">
        <f>Table1[[#This Row],[Scientific name]]&amp;" ("&amp;Table1[[#This Row],[Popular name]]&amp;")"</f>
        <v>Zuelania guidonia (Water wood tamai)</v>
      </c>
      <c r="D114" t="s">
        <v>39</v>
      </c>
    </row>
    <row r="115" spans="1:4">
      <c r="A115" t="s">
        <v>266</v>
      </c>
      <c r="B115" t="s">
        <v>267</v>
      </c>
      <c r="C115" s="24" t="str">
        <f>Table1[[#This Row],[Scientific name]]&amp;" ("&amp;Table1[[#This Row],[Popular name]]&amp;")"</f>
        <v>Zygia cognata (Turttle bon)</v>
      </c>
      <c r="D115" t="s">
        <v>39</v>
      </c>
    </row>
  </sheetData>
  <dataValidations count="1">
    <dataValidation type="list" allowBlank="1" showInputMessage="1" showErrorMessage="1" sqref="D2:D115">
      <formula1>TreeCat</formula1>
    </dataValidation>
  </dataValidations>
  <pageMargins left="0.7" right="0.7" top="0.75" bottom="0.75" header="0.3" footer="0.3"/>
  <pageSetup orientation="portrait" horizontalDpi="4294967293" verticalDpi="0"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PSP Data</vt:lpstr>
      <vt:lpstr>Analysis</vt:lpstr>
      <vt:lpstr>Lists</vt:lpstr>
      <vt:lpstr>Binary</vt:lpstr>
      <vt:lpstr>Dead_Wood_Classes</vt:lpstr>
      <vt:lpstr>LookupNames</vt:lpstr>
      <vt:lpstr>Tree_Category</vt:lpstr>
      <vt:lpstr>TreeCat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dc:creator>
  <cp:lastModifiedBy>ohagen</cp:lastModifiedBy>
  <dcterms:created xsi:type="dcterms:W3CDTF">2015-06-05T18:19:34Z</dcterms:created>
  <dcterms:modified xsi:type="dcterms:W3CDTF">2019-05-15T15:24:47Z</dcterms:modified>
</cp:coreProperties>
</file>